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stos_Reales_Hoy" sheetId="1" state="visible" r:id="rId1"/>
    <sheet xmlns:r="http://schemas.openxmlformats.org/officeDocument/2006/relationships" name="01_Dashboard_Operativo" sheetId="2" state="visible" r:id="rId2"/>
    <sheet xmlns:r="http://schemas.openxmlformats.org/officeDocument/2006/relationships" name="02_Costos_Directos_COGS" sheetId="3" state="visible" r:id="rId3"/>
    <sheet xmlns:r="http://schemas.openxmlformats.org/officeDocument/2006/relationships" name="03_Gastos_Generales_OpEx" sheetId="4" state="visible" r:id="rId4"/>
    <sheet xmlns:r="http://schemas.openxmlformats.org/officeDocument/2006/relationships" name="04_Impuestos_y_Tasas" sheetId="5" state="visible" r:id="rId5"/>
    <sheet xmlns:r="http://schemas.openxmlformats.org/officeDocument/2006/relationships" name="05_Reservas_y_Contingencias" sheetId="6" state="visible" r:id="rId6"/>
    <sheet xmlns:r="http://schemas.openxmlformats.org/officeDocument/2006/relationships" name="06_PyG_Operativo_Mensu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 #,##0"/>
    <numFmt numFmtId="165" formatCode="0.0%"/>
  </numFmts>
  <fonts count="16">
    <font>
      <name val="Calibri"/>
      <family val="2"/>
      <color theme="1"/>
      <sz val="11"/>
      <scheme val="minor"/>
    </font>
    <font>
      <name val="Segoe UI"/>
      <b val="1"/>
      <color rgb="00156850"/>
      <sz val="15"/>
    </font>
    <font>
      <name val="Segoe UI"/>
      <i val="1"/>
      <color rgb="0064748B"/>
      <sz val="9.5"/>
    </font>
    <font>
      <name val="Segoe UI"/>
      <b val="1"/>
      <color rgb="00FFFFFF"/>
      <sz val="9.5"/>
    </font>
    <font>
      <name val="Segoe UI"/>
      <b val="1"/>
      <color rgb="001E293B"/>
      <sz val="9"/>
    </font>
    <font>
      <name val="Segoe UI"/>
      <color rgb="001E293B"/>
      <sz val="9"/>
    </font>
    <font>
      <name val="Segoe UI"/>
      <b val="1"/>
      <color rgb="001E293B"/>
      <sz val="9.5"/>
    </font>
    <font>
      <name val="Segoe UI"/>
      <b val="1"/>
      <color rgb="00156850"/>
      <sz val="11.5"/>
    </font>
    <font>
      <name val="Segoe UI"/>
      <b val="1"/>
      <color rgb="00156850"/>
      <sz val="10.5"/>
    </font>
    <font>
      <name val="Segoe UI"/>
      <b val="1"/>
      <color rgb="000F4F3D"/>
      <sz val="8.5"/>
    </font>
    <font>
      <name val="Segoe UI"/>
      <b val="1"/>
      <color rgb="0064748B"/>
      <sz val="8"/>
    </font>
    <font>
      <name val="Segoe UI"/>
      <b val="1"/>
      <color rgb="00156850"/>
      <sz val="14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56850"/>
        <bgColor rgb="00156850"/>
      </patternFill>
    </fill>
    <fill>
      <patternFill patternType="solid">
        <fgColor rgb="00FEF3C7"/>
        <bgColor rgb="00FEF3C7"/>
      </patternFill>
    </fill>
    <fill>
      <patternFill patternType="solid">
        <fgColor rgb="00E6F3EE"/>
        <bgColor rgb="00E6F3EE"/>
      </patternFill>
    </fill>
    <fill>
      <patternFill patternType="solid">
        <fgColor rgb="00F2F9F6"/>
        <bgColor rgb="00F2F9F6"/>
      </patternFill>
    </fill>
    <fill>
      <patternFill patternType="solid">
        <fgColor rgb="00FFF4CC"/>
      </patternFill>
    </fill>
    <fill>
      <patternFill patternType="solid">
        <fgColor rgb="001B5E3B"/>
      </patternFill>
    </fill>
    <fill>
      <patternFill patternType="solid">
        <fgColor rgb="00EAF3EC"/>
      </patternFill>
    </fill>
  </fills>
  <borders count="1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56850"/>
      </top>
      <bottom style="medium">
        <color rgb="0015685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56850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4" borderId="2" applyAlignment="1" pivotButton="0" quotePrefix="0" xfId="0">
      <alignment horizontal="center" vertical="center"/>
    </xf>
    <xf numFmtId="0" fontId="0" fillId="0" borderId="2" pivotButton="0" quotePrefix="0" xfId="0"/>
    <xf numFmtId="164" fontId="11" fillId="5" borderId="2" applyAlignment="1" pivotButton="0" quotePrefix="0" xfId="0">
      <alignment horizontal="center" vertical="center"/>
    </xf>
    <xf numFmtId="165" fontId="11" fillId="5" borderId="2" applyAlignment="1" pivotButton="0" quotePrefix="0" xfId="0">
      <alignment horizontal="center" vertical="center"/>
    </xf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3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0" fontId="4" fillId="0" borderId="2" pivotButton="0" quotePrefix="0" xfId="0"/>
    <xf numFmtId="0" fontId="5" fillId="0" borderId="2" pivotButton="0" quotePrefix="0" xfId="0"/>
    <xf numFmtId="0" fontId="6" fillId="3" borderId="3" pivotButton="0" quotePrefix="0" xfId="0"/>
    <xf numFmtId="164" fontId="6" fillId="3" borderId="3" applyAlignment="1" pivotButton="0" quotePrefix="0" xfId="0">
      <alignment horizontal="right" vertical="center"/>
    </xf>
    <xf numFmtId="0" fontId="6" fillId="0" borderId="2" pivotButton="0" quotePrefix="0" xfId="0"/>
    <xf numFmtId="164" fontId="6" fillId="0" borderId="2" applyAlignment="1" pivotButton="0" quotePrefix="0" xfId="0">
      <alignment horizontal="right" vertical="center"/>
    </xf>
    <xf numFmtId="0" fontId="6" fillId="4" borderId="2" pivotButton="0" quotePrefix="0" xfId="0"/>
    <xf numFmtId="165" fontId="6" fillId="4" borderId="2" applyAlignment="1" pivotButton="0" quotePrefix="0" xfId="0">
      <alignment horizontal="right" vertical="center"/>
    </xf>
    <xf numFmtId="3" fontId="6" fillId="3" borderId="3" applyAlignment="1" pivotButton="0" quotePrefix="0" xfId="0">
      <alignment horizontal="right" vertical="center"/>
    </xf>
    <xf numFmtId="165" fontId="6" fillId="3" borderId="3" applyAlignment="1" pivotButton="0" quotePrefix="0" xfId="0">
      <alignment horizontal="right" vertical="center"/>
    </xf>
    <xf numFmtId="0" fontId="6" fillId="3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8" fillId="3" borderId="3" applyAlignment="1" pivotButton="0" quotePrefix="0" xfId="0">
      <alignment horizontal="center" vertical="center"/>
    </xf>
    <xf numFmtId="0" fontId="8" fillId="3" borderId="3" pivotButton="0" quotePrefix="0" xfId="0"/>
    <xf numFmtId="164" fontId="8" fillId="3" borderId="3" applyAlignment="1" pivotButton="0" quotePrefix="0" xfId="0">
      <alignment horizontal="right" vertical="center"/>
    </xf>
    <xf numFmtId="165" fontId="8" fillId="3" borderId="3" applyAlignment="1" pivotButton="0" quotePrefix="0" xfId="0">
      <alignment horizontal="right" vertical="center"/>
    </xf>
    <xf numFmtId="0" fontId="8" fillId="3" borderId="3" applyAlignment="1" pivotButton="0" quotePrefix="0" xfId="0">
      <alignment horizontal="left" vertical="center"/>
    </xf>
    <xf numFmtId="0" fontId="12" fillId="0" borderId="0" pivotButton="0" quotePrefix="0" xfId="0"/>
    <xf numFmtId="0" fontId="13" fillId="0" borderId="0" pivotButton="0" quotePrefix="0" xfId="0"/>
    <xf numFmtId="3" fontId="0" fillId="6" borderId="0" pivotButton="0" quotePrefix="0" xfId="0"/>
    <xf numFmtId="0" fontId="14" fillId="7" borderId="11" applyAlignment="1" pivotButton="0" quotePrefix="0" xfId="0">
      <alignment wrapText="1"/>
    </xf>
    <xf numFmtId="0" fontId="0" fillId="0" borderId="11" pivotButton="0" quotePrefix="0" xfId="0"/>
    <xf numFmtId="4" fontId="0" fillId="0" borderId="11" pivotButton="0" quotePrefix="0" xfId="0"/>
    <xf numFmtId="3" fontId="0" fillId="0" borderId="11" pivotButton="0" quotePrefix="0" xfId="0"/>
    <xf numFmtId="0" fontId="13" fillId="8" borderId="11" pivotButton="0" quotePrefix="0" xfId="0"/>
    <xf numFmtId="0" fontId="0" fillId="8" borderId="11" pivotButton="0" quotePrefix="0" xfId="0"/>
    <xf numFmtId="3" fontId="13" fillId="8" borderId="11" pivotButton="0" quotePrefix="0" xfId="0"/>
    <xf numFmtId="0" fontId="15" fillId="0" borderId="0" pivotButton="0" quotePrefix="0" xfId="0"/>
    <xf numFmtId="0" fontId="14" fillId="7" borderId="11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16383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16383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4"/>
  <sheetViews>
    <sheetView workbookViewId="0">
      <selection activeCell="A1" sqref="A1"/>
    </sheetView>
  </sheetViews>
  <sheetFormatPr baseColWidth="8" defaultRowHeight="15"/>
  <cols>
    <col width="34" customWidth="1" min="2" max="2"/>
    <col width="34" customWidth="1" min="3" max="3"/>
    <col width="20" customWidth="1" min="4" max="4"/>
    <col width="16" customWidth="1" min="5" max="5"/>
    <col width="20" customWidth="1" min="6" max="6"/>
    <col width="12" customWidth="1" min="7" max="7"/>
    <col width="40" customWidth="1" min="8" max="8"/>
  </cols>
  <sheetData>
    <row r="2">
      <c r="B2" s="44" t="inlineStr">
        <is>
          <t>COSTO360 — COSTOS REALES HOY (fuente de verdad del agente de operaciones)</t>
        </is>
      </c>
    </row>
    <row r="3">
      <c r="B3" t="inlineStr">
        <is>
          <t>Actualizado 2026-09-26 con datos del fundador y mediciones reales. Las hojas 01–06 son el modelo proyectado de escala (supuestos), no la realidad actual.</t>
        </is>
      </c>
    </row>
    <row r="5">
      <c r="B5" s="45" t="inlineStr">
        <is>
          <t>Tasa de cambio COP por USD (editable)</t>
        </is>
      </c>
      <c r="E5" s="46" t="n">
        <v>4000</v>
      </c>
    </row>
    <row r="7">
      <c r="B7" s="47" t="inlineStr">
        <is>
          <t>Rubro</t>
        </is>
      </c>
      <c r="C7" s="47" t="inlineStr">
        <is>
          <t>Proveedor</t>
        </is>
      </c>
      <c r="D7" s="47" t="inlineStr">
        <is>
          <t>Moneda</t>
        </is>
      </c>
      <c r="E7" s="47" t="inlineStr">
        <is>
          <t>Valor mensual</t>
        </is>
      </c>
      <c r="F7" s="47" t="inlineStr">
        <is>
          <t>Costo mensual (COP)</t>
        </is>
      </c>
      <c r="G7" s="47" t="inlineStr">
        <is>
          <t>Tipo</t>
        </is>
      </c>
      <c r="H7" s="47" t="inlineStr">
        <is>
          <t>Fuente / nota</t>
        </is>
      </c>
    </row>
    <row r="8">
      <c r="B8" s="48" t="inlineStr">
        <is>
          <t>Correo y oficina</t>
        </is>
      </c>
      <c r="C8" s="48" t="inlineStr">
        <is>
          <t>Microsoft 365 Business Basic</t>
        </is>
      </c>
      <c r="D8" s="48" t="inlineStr">
        <is>
          <t>USD</t>
        </is>
      </c>
      <c r="E8" s="49" t="n">
        <v>7</v>
      </c>
      <c r="F8" s="50">
        <f>IF(D8="USD",E8*$E$5,E8)</f>
        <v/>
      </c>
      <c r="G8" s="48" t="inlineStr">
        <is>
          <t>Fijo</t>
        </is>
      </c>
      <c r="H8" s="48" t="inlineStr">
        <is>
          <t>Fundador, 2026-09-26</t>
        </is>
      </c>
    </row>
    <row r="9">
      <c r="B9" s="48" t="inlineStr">
        <is>
          <t>IA para desarrollo y gestión</t>
        </is>
      </c>
      <c r="C9" s="48" t="inlineStr">
        <is>
          <t>Claude Pro (Anthropic)</t>
        </is>
      </c>
      <c r="D9" s="48" t="inlineStr">
        <is>
          <t>COP</t>
        </is>
      </c>
      <c r="E9" s="49" t="n">
        <v>80000</v>
      </c>
      <c r="F9" s="50">
        <f>IF(D9="USD",E9*$E$5,E9)</f>
        <v/>
      </c>
      <c r="G9" s="48" t="inlineStr">
        <is>
          <t>Fijo</t>
        </is>
      </c>
      <c r="H9" s="48" t="inlineStr">
        <is>
          <t>Fundador: US$20 ≈ $80.000</t>
        </is>
      </c>
    </row>
    <row r="10">
      <c r="B10" s="48" t="inlineStr">
        <is>
          <t>IA para desarrollo y gestión</t>
        </is>
      </c>
      <c r="C10" s="48" t="inlineStr">
        <is>
          <t>Google AI Pro (Gemini)</t>
        </is>
      </c>
      <c r="D10" s="48" t="inlineStr">
        <is>
          <t>USD</t>
        </is>
      </c>
      <c r="E10" s="49" t="n">
        <v>20</v>
      </c>
      <c r="F10" s="50">
        <f>IF(D10="USD",E10*$E$5,E10)</f>
        <v/>
      </c>
      <c r="G10" s="48" t="inlineStr">
        <is>
          <t>Fijo</t>
        </is>
      </c>
      <c r="H10" s="48" t="inlineStr">
        <is>
          <t>Fundador, 2026-09-26</t>
        </is>
      </c>
    </row>
    <row r="11">
      <c r="B11" s="48" t="inlineStr">
        <is>
          <t>IA para desarrollo y gestión</t>
        </is>
      </c>
      <c r="C11" s="48" t="inlineStr">
        <is>
          <t>ChatGPT Plus (OpenAI)</t>
        </is>
      </c>
      <c r="D11" s="48" t="inlineStr">
        <is>
          <t>COP</t>
        </is>
      </c>
      <c r="E11" s="49" t="n">
        <v>99900</v>
      </c>
      <c r="F11" s="50">
        <f>IF(D11="USD",E11*$E$5,E11)</f>
        <v/>
      </c>
      <c r="G11" s="48" t="inlineStr">
        <is>
          <t>Fijo</t>
        </is>
      </c>
      <c r="H11" s="48" t="inlineStr">
        <is>
          <t>Fundador, 2026-09-26</t>
        </is>
      </c>
    </row>
    <row r="12">
      <c r="B12" s="48" t="inlineStr">
        <is>
          <t>Base de datos del producto</t>
        </is>
      </c>
      <c r="C12" s="48" t="inlineStr">
        <is>
          <t>Supabase (costo360)</t>
        </is>
      </c>
      <c r="D12" s="48" t="inlineStr">
        <is>
          <t>USD</t>
        </is>
      </c>
      <c r="E12" s="49" t="n">
        <v>0</v>
      </c>
      <c r="F12" s="50">
        <f>IF(D12="USD",E12*$E$5,E12)</f>
        <v/>
      </c>
      <c r="G12" s="48" t="inlineStr">
        <is>
          <t>Fijo</t>
        </is>
      </c>
      <c r="H12" s="48" t="inlineStr">
        <is>
          <t>Plan gratis, verificado 2026-09-26</t>
        </is>
      </c>
    </row>
    <row r="13">
      <c r="B13" s="48" t="inlineStr">
        <is>
          <t>Base de datos de operaciones</t>
        </is>
      </c>
      <c r="C13" s="48" t="inlineStr">
        <is>
          <t>Supabase (costo360-operaciones)</t>
        </is>
      </c>
      <c r="D13" s="48" t="inlineStr">
        <is>
          <t>USD</t>
        </is>
      </c>
      <c r="E13" s="49" t="n">
        <v>0</v>
      </c>
      <c r="F13" s="50">
        <f>IF(D13="USD",E13*$E$5,E13)</f>
        <v/>
      </c>
      <c r="G13" s="48" t="inlineStr">
        <is>
          <t>Fijo</t>
        </is>
      </c>
      <c r="H13" s="48" t="inlineStr">
        <is>
          <t>Plan gratis, verificado 2026-09-26</t>
        </is>
      </c>
    </row>
    <row r="14">
      <c r="B14" s="48" t="inlineStr">
        <is>
          <t>Hosting web, backend, landing y Centro de Control</t>
        </is>
      </c>
      <c r="C14" s="48" t="inlineStr">
        <is>
          <t>Vercel</t>
        </is>
      </c>
      <c r="D14" s="48" t="inlineStr">
        <is>
          <t>USD</t>
        </is>
      </c>
      <c r="E14" s="49" t="n">
        <v>0</v>
      </c>
      <c r="F14" s="50">
        <f>IF(D14="USD",E14*$E$5,E14)</f>
        <v/>
      </c>
      <c r="G14" s="48" t="inlineStr">
        <is>
          <t>Fijo</t>
        </is>
      </c>
      <c r="H14" s="48" t="inlineStr">
        <is>
          <t>Plan gratis (Hobby)</t>
        </is>
      </c>
    </row>
    <row r="15">
      <c r="B15" s="51" t="inlineStr">
        <is>
          <t>TOTAL COSTOS FIJOS MENSUALES</t>
        </is>
      </c>
      <c r="C15" s="52" t="n"/>
      <c r="D15" s="52" t="n"/>
      <c r="E15" s="52" t="n"/>
      <c r="F15" s="53">
        <f>SUM(F8:F14)</f>
        <v/>
      </c>
      <c r="G15" s="52" t="n"/>
      <c r="H15" s="52" t="n"/>
    </row>
    <row r="18">
      <c r="B18" s="54" t="inlineStr">
        <is>
          <t>COSTOS VARIABLES (por uso real; el agente los lee en vivo de la base de datos)</t>
        </is>
      </c>
    </row>
    <row r="19">
      <c r="B19" s="55" t="inlineStr">
        <is>
          <t>Servicio</t>
        </is>
      </c>
      <c r="C19" s="55" t="inlineStr">
        <is>
          <t>Qué mide</t>
        </is>
      </c>
      <c r="D19" s="55" t="inlineStr">
        <is>
          <t>Dónde se registra</t>
        </is>
      </c>
      <c r="E19" s="55" t="inlineStr">
        <is>
          <t>Medido sep-2026 (USD)</t>
        </is>
      </c>
      <c r="F19" s="55" t="inlineStr">
        <is>
          <t>Medido sep-2026 (COP)</t>
        </is>
      </c>
      <c r="G19" s="55" t="inlineStr">
        <is>
          <t>Tipo</t>
        </is>
      </c>
      <c r="H19" s="55" t="inlineStr">
        <is>
          <t>Nota</t>
        </is>
      </c>
    </row>
    <row r="20">
      <c r="B20" s="48" t="inlineStr">
        <is>
          <t>Gemini (Cost)</t>
        </is>
      </c>
      <c r="C20" s="48" t="inlineStr">
        <is>
          <t>Tokens del asistente Cost</t>
        </is>
      </c>
      <c r="D20" s="48" t="inlineStr">
        <is>
          <t>consumo_api (gemini_cost)</t>
        </is>
      </c>
      <c r="E20" s="48" t="n">
        <v>0.84</v>
      </c>
      <c r="F20" s="50">
        <f>IF(E20="","",E20*$E$5)</f>
        <v/>
      </c>
      <c r="G20" s="48" t="inlineStr">
        <is>
          <t>Variable</t>
        </is>
      </c>
      <c r="H20" s="48" t="inlineStr">
        <is>
          <t>Clave de pago</t>
        </is>
      </c>
    </row>
    <row r="21">
      <c r="B21" s="48" t="inlineStr">
        <is>
          <t>ElevenLabs (voz)</t>
        </is>
      </c>
      <c r="C21" s="48" t="inlineStr">
        <is>
          <t>Mensajes de voz</t>
        </is>
      </c>
      <c r="D21" s="48" t="inlineStr">
        <is>
          <t>consumo_api (elevenlabs_voz)</t>
        </is>
      </c>
      <c r="E21" s="48" t="n">
        <v>0</v>
      </c>
      <c r="F21" s="50">
        <f>IF(E21="","",E21*$E$5)</f>
        <v/>
      </c>
      <c r="G21" s="48" t="inlineStr">
        <is>
          <t>Variable</t>
        </is>
      </c>
      <c r="H21" s="48" t="inlineStr"/>
    </row>
    <row r="22">
      <c r="B22" s="48" t="inlineStr">
        <is>
          <t>OpenAI (render de cocina)</t>
        </is>
      </c>
      <c r="C22" s="48" t="inlineStr">
        <is>
          <t>Imágenes generadas</t>
        </is>
      </c>
      <c r="D22" s="48" t="inlineStr">
        <is>
          <t>render_cocina.costo_usd</t>
        </is>
      </c>
      <c r="E22" s="48" t="n">
        <v>0.1</v>
      </c>
      <c r="F22" s="50">
        <f>IF(E22="","",E22*$E$5)</f>
        <v/>
      </c>
      <c r="G22" s="48" t="inlineStr">
        <is>
          <t>Variable</t>
        </is>
      </c>
      <c r="H22" s="48" t="inlineStr"/>
    </row>
    <row r="23">
      <c r="B23" s="48" t="inlineStr">
        <is>
          <t>Wompi</t>
        </is>
      </c>
      <c r="C23" s="48" t="inlineStr">
        <is>
          <t>Comisión por cobro aprobado</t>
        </is>
      </c>
      <c r="D23" s="48" t="inlineStr">
        <is>
          <t>pagos_procesados</t>
        </is>
      </c>
      <c r="E23" s="48" t="inlineStr"/>
      <c r="F23" s="50">
        <f>IF(E23="","",E23*$E$5)</f>
        <v/>
      </c>
      <c r="G23" s="48" t="inlineStr">
        <is>
          <t>Variable</t>
        </is>
      </c>
      <c r="H23" s="48" t="inlineStr">
        <is>
          <t>% + fijo por transacción; se calcula por cobro</t>
        </is>
      </c>
    </row>
    <row r="24">
      <c r="B24" s="48" t="inlineStr">
        <is>
          <t>Resend / Telegram</t>
        </is>
      </c>
      <c r="C24" s="48" t="inlineStr">
        <is>
          <t>Correos y avisos</t>
        </is>
      </c>
      <c r="D24" s="48" t="inlineStr">
        <is>
          <t>—</t>
        </is>
      </c>
      <c r="E24" s="48" t="n">
        <v>0</v>
      </c>
      <c r="F24" s="50">
        <f>IF(E24="","",E24*$E$5)</f>
        <v/>
      </c>
      <c r="G24" s="48" t="inlineStr">
        <is>
          <t>Variable</t>
        </is>
      </c>
      <c r="H24" s="48" t="inlineStr">
        <is>
          <t>Hoy dentro del plan gratis</t>
        </is>
      </c>
    </row>
    <row r="25">
      <c r="B25" s="51" t="inlineStr">
        <is>
          <t>TOTAL VARIABLE MEDIDO SEP-2026</t>
        </is>
      </c>
      <c r="C25" s="52" t="n"/>
      <c r="D25" s="52" t="n"/>
      <c r="E25" s="52" t="n"/>
      <c r="F25" s="53">
        <f>SUM(F20:F24)</f>
        <v/>
      </c>
      <c r="G25" s="52" t="n"/>
      <c r="H25" s="52" t="n"/>
    </row>
    <row r="28">
      <c r="B28" s="54" t="inlineStr">
        <is>
          <t>PRECIOS REALES DE LOS PLANES (tabla planes en producción)</t>
        </is>
      </c>
    </row>
    <row r="29">
      <c r="B29" s="55" t="inlineStr">
        <is>
          <t>Plan</t>
        </is>
      </c>
      <c r="C29" s="55" t="inlineStr">
        <is>
          <t>Usuarios</t>
        </is>
      </c>
      <c r="D29" s="55" t="inlineStr">
        <is>
          <t>Precio mensual (COP)</t>
        </is>
      </c>
    </row>
    <row r="30">
      <c r="B30" s="48" t="inlineStr">
        <is>
          <t>Starter</t>
        </is>
      </c>
      <c r="C30" s="48" t="n">
        <v>1</v>
      </c>
      <c r="D30" s="50" t="n">
        <v>150000</v>
      </c>
    </row>
    <row r="31">
      <c r="B31" s="48" t="inlineStr">
        <is>
          <t>Pro</t>
        </is>
      </c>
      <c r="C31" s="48" t="n">
        <v>3</v>
      </c>
      <c r="D31" s="50" t="n">
        <v>375000</v>
      </c>
    </row>
    <row r="32">
      <c r="B32" s="48" t="inlineStr">
        <is>
          <t>Enterprise</t>
        </is>
      </c>
      <c r="C32" s="48" t="n">
        <v>10</v>
      </c>
      <c r="D32" s="50" t="n">
        <v>875000</v>
      </c>
    </row>
    <row r="34" ht="32" customHeight="1">
      <c r="B34" s="56" t="inlineStr">
        <is>
          <t>Cómo se calcula el costo por cliente: (Total fijos ÷ talleres activos del mes) + costo variable medido de ese taller. El agente siempre dice con cuántos talleres hizo la cuenta.</t>
        </is>
      </c>
    </row>
  </sheetData>
  <mergeCells count="1">
    <mergeCell ref="B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20" customWidth="1" min="4" max="4"/>
    <col width="20" customWidth="1" min="5" max="5"/>
    <col width="20" customWidth="1" min="6" max="6"/>
    <col width="16" customWidth="1" min="7" max="7"/>
    <col width="22" customWidth="1" min="8" max="8"/>
    <col width="20" customWidth="1" min="9" max="9"/>
    <col width="22" customWidth="1" min="10" max="10"/>
    <col width="22" customWidth="1" min="11" max="11"/>
    <col width="16" customWidth="1" min="12" max="12"/>
    <col width="16" customWidth="1" min="13" max="13"/>
  </cols>
  <sheetData>
    <row r="2">
      <c r="B2" s="1" t="inlineStr">
        <is>
          <t>COSTO360 S.A.S. — MODELO DE OPERACIÓN MENSUAL CONTINUA</t>
        </is>
      </c>
    </row>
    <row r="3">
      <c r="B3" s="2" t="inlineStr">
        <is>
          <t>Desglose jerárquico de Costos Directos, Indirectos, Gastos Generales, Precios, Impuestos, Contingencias y Márgenes</t>
        </is>
      </c>
    </row>
    <row r="4">
      <c r="B4" s="3" t="inlineStr">
        <is>
          <t>Supuesto base: Empresa en marcha (cero inversión inicial) — Régimen Simple (RST) — Moneda: COP</t>
        </is>
      </c>
    </row>
    <row r="6">
      <c r="B6" s="4" t="inlineStr">
        <is>
          <t>FACTURACIÓN MENSUAL (35 TALLERES)</t>
        </is>
      </c>
      <c r="C6" s="57" t="n"/>
      <c r="D6" s="4" t="inlineStr">
        <is>
          <t>COSTOS DIRECTOS TOTALES (COGS)</t>
        </is>
      </c>
      <c r="E6" s="57" t="n"/>
      <c r="F6" s="4" t="inlineStr">
        <is>
          <t>MARGEN BRUTO OPERATIVO</t>
        </is>
      </c>
      <c r="G6" s="57" t="n"/>
      <c r="H6" s="4" t="inlineStr">
        <is>
          <t>GASTOS GENERALES (OpEx)</t>
        </is>
      </c>
      <c r="I6" s="57" t="n"/>
      <c r="J6" s="4" t="inlineStr">
        <is>
          <t>EBITDA MENSUAL</t>
        </is>
      </c>
      <c r="K6" s="57" t="n"/>
      <c r="L6" s="4" t="inlineStr">
        <is>
          <t>UTILIDAD NETA MENSUAL</t>
        </is>
      </c>
      <c r="M6" s="57" t="n"/>
    </row>
    <row r="7">
      <c r="B7" s="6">
        <f> '06_PyG_Operativo_Mensual'!C6</f>
        <v/>
      </c>
      <c r="C7" s="58" t="n"/>
      <c r="D7" s="6">
        <f> '06_PyG_Operativo_Mensual'!C10</f>
        <v/>
      </c>
      <c r="E7" s="58" t="n"/>
      <c r="F7" s="7">
        <f> '06_PyG_Operativo_Mensual'!D11</f>
        <v/>
      </c>
      <c r="G7" s="58" t="n"/>
      <c r="H7" s="6">
        <f> '06_PyG_Operativo_Mensual'!C13</f>
        <v/>
      </c>
      <c r="I7" s="58" t="n"/>
      <c r="J7" s="6">
        <f> '06_PyG_Operativo_Mensual'!C18</f>
        <v/>
      </c>
      <c r="K7" s="58" t="n"/>
      <c r="L7" s="6">
        <f> '06_PyG_Operativo_Mensual'!C22</f>
        <v/>
      </c>
      <c r="M7" s="58" t="n"/>
    </row>
    <row r="8">
      <c r="B8" s="59" t="n"/>
      <c r="C8" s="60" t="n"/>
      <c r="D8" s="59" t="n"/>
      <c r="E8" s="60" t="n"/>
      <c r="F8" s="59" t="n"/>
      <c r="G8" s="60" t="n"/>
      <c r="H8" s="59" t="n"/>
      <c r="I8" s="60" t="n"/>
      <c r="J8" s="59" t="n"/>
      <c r="K8" s="60" t="n"/>
      <c r="L8" s="59" t="n"/>
      <c r="M8" s="60" t="n"/>
    </row>
    <row r="11">
      <c r="B11" s="8" t="inlineStr">
        <is>
          <t>MATRIZ DE SENSIBILIDAD: ESCENARIOS DE OPERACIÓN MENSUAL SEGÚN TALLERES ACTIVOS</t>
        </is>
      </c>
    </row>
    <row r="13">
      <c r="B13" s="9" t="inlineStr">
        <is>
          <t>Escenario de Operación</t>
        </is>
      </c>
      <c r="C13" s="9" t="inlineStr">
        <is>
          <t>Talleres Activos</t>
        </is>
      </c>
      <c r="D13" s="9" t="inlineStr">
        <is>
          <t>Ingresos Mensuales</t>
        </is>
      </c>
      <c r="E13" s="9" t="inlineStr">
        <is>
          <t>Costos Directos (COGS)</t>
        </is>
      </c>
      <c r="F13" s="9" t="inlineStr">
        <is>
          <t>Margen Bruto ($)</t>
        </is>
      </c>
      <c r="G13" s="9" t="inlineStr">
        <is>
          <t>Margen Bruto (%)</t>
        </is>
      </c>
      <c r="H13" s="9" t="inlineStr">
        <is>
          <t>Gastos Generales (OpEx)</t>
        </is>
      </c>
      <c r="I13" s="9" t="inlineStr">
        <is>
          <t>EBITDA Mensual</t>
        </is>
      </c>
      <c r="J13" s="9" t="inlineStr">
        <is>
          <t>Impuestos + Reservas</t>
        </is>
      </c>
      <c r="K13" s="9" t="inlineStr">
        <is>
          <t>Utilidad Neta Mensual</t>
        </is>
      </c>
      <c r="L13" s="9" t="inlineStr">
        <is>
          <t>% Margen Neto</t>
        </is>
      </c>
    </row>
    <row r="14">
      <c r="B14" s="10" t="inlineStr">
        <is>
          <t>Escenario 1: Arranque y Piloto Validado</t>
        </is>
      </c>
      <c r="C14" s="11" t="n">
        <v>15</v>
      </c>
      <c r="D14" s="12">
        <f>(10*150000)+(4*375000)+(1*2410000)</f>
        <v/>
      </c>
      <c r="E14" s="12">
        <f>(10*'02_Costos_Directos_COGS'!D12)+(4*'02_Costos_Directos_COGS'!E12)+(1*'02_Costos_Directos_COGS'!F12)</f>
        <v/>
      </c>
      <c r="F14" s="12">
        <f>D14-E14</f>
        <v/>
      </c>
      <c r="G14" s="13">
        <f>F14/D14</f>
        <v/>
      </c>
      <c r="H14" s="12">
        <f>'03_Gastos_Generales_OpEx'!E21</f>
        <v/>
      </c>
      <c r="I14" s="12">
        <f>F14-H14</f>
        <v/>
      </c>
      <c r="J14" s="12">
        <f>D14*0.083 + H14*0.05</f>
        <v/>
      </c>
      <c r="K14" s="12">
        <f>I14-J14</f>
        <v/>
      </c>
      <c r="L14" s="13">
        <f>K14/D14</f>
        <v/>
      </c>
    </row>
    <row r="15">
      <c r="B15" s="14" t="inlineStr">
        <is>
          <t>Escenario 2: Punto de Equilibrio Superado (Base)</t>
        </is>
      </c>
      <c r="C15" s="15" t="n">
        <v>35</v>
      </c>
      <c r="D15" s="16">
        <f>'06_PyG_Operativo_Mensual'!C6</f>
        <v/>
      </c>
      <c r="E15" s="16">
        <f>'06_PyG_Operativo_Mensual'!C10</f>
        <v/>
      </c>
      <c r="F15" s="16">
        <f>'06_PyG_Operativo_Mensual'!C11</f>
        <v/>
      </c>
      <c r="G15" s="17">
        <f>'06_PyG_Operativo_Mensual'!D11</f>
        <v/>
      </c>
      <c r="H15" s="16">
        <f>'06_PyG_Operativo_Mensual'!C13</f>
        <v/>
      </c>
      <c r="I15" s="16">
        <f>'06_PyG_Operativo_Mensual'!C18</f>
        <v/>
      </c>
      <c r="J15" s="16">
        <f>'06_PyG_Operativo_Mensual'!C20+'06_PyG_Operativo_Mensual'!C21</f>
        <v/>
      </c>
      <c r="K15" s="16">
        <f>'06_PyG_Operativo_Mensual'!C22</f>
        <v/>
      </c>
      <c r="L15" s="17">
        <f>'06_PyG_Operativo_Mensual'!D22</f>
        <v/>
      </c>
    </row>
    <row r="16">
      <c r="B16" s="10" t="inlineStr">
        <is>
          <t>Escenario 3: Expansión Región Caribe</t>
        </is>
      </c>
      <c r="C16" s="11" t="n">
        <v>60</v>
      </c>
      <c r="D16" s="12">
        <f>(30*150000)+(22*375000)+(8*2410000)</f>
        <v/>
      </c>
      <c r="E16" s="12">
        <f>(30*'02_Costos_Directos_COGS'!D12)+(22*'02_Costos_Directos_COGS'!E12)+(8*'02_Costos_Directos_COGS'!F12)</f>
        <v/>
      </c>
      <c r="F16" s="12">
        <f>D16-E16</f>
        <v/>
      </c>
      <c r="G16" s="13">
        <f>F16/D16</f>
        <v/>
      </c>
      <c r="H16" s="12">
        <f>'03_Gastos_Generales_OpEx'!E21</f>
        <v/>
      </c>
      <c r="I16" s="12">
        <f>F16-H16</f>
        <v/>
      </c>
      <c r="J16" s="12">
        <f>D16*0.083 + H16*0.05</f>
        <v/>
      </c>
      <c r="K16" s="12">
        <f>I16-J16</f>
        <v/>
      </c>
      <c r="L16" s="13">
        <f>K16/D16</f>
        <v/>
      </c>
    </row>
    <row r="17">
      <c r="B17" s="10" t="inlineStr">
        <is>
          <t>Escenario 4: Madurez y Escala Nacional</t>
        </is>
      </c>
      <c r="C17" s="11" t="n">
        <v>108</v>
      </c>
      <c r="D17" s="12">
        <f>(50*150000)+(42*375000)+(16*2410000)</f>
        <v/>
      </c>
      <c r="E17" s="12">
        <f>(50*'02_Costos_Directos_COGS'!D12)+(42*'02_Costos_Directos_COGS'!E12)+(16*'02_Costos_Directos_COGS'!F12)</f>
        <v/>
      </c>
      <c r="F17" s="12">
        <f>D17-E17</f>
        <v/>
      </c>
      <c r="G17" s="13">
        <f>F17/D17</f>
        <v/>
      </c>
      <c r="H17" s="12">
        <f>'03_Gastos_Generales_OpEx'!E21</f>
        <v/>
      </c>
      <c r="I17" s="12">
        <f>F17-H17</f>
        <v/>
      </c>
      <c r="J17" s="12">
        <f>D17*0.083 + H17*0.05</f>
        <v/>
      </c>
      <c r="K17" s="12">
        <f>I17-J17</f>
        <v/>
      </c>
      <c r="L17" s="13">
        <f>K17/D17</f>
        <v/>
      </c>
    </row>
  </sheetData>
  <mergeCells count="12">
    <mergeCell ref="D6:E6"/>
    <mergeCell ref="B6:C6"/>
    <mergeCell ref="H6:I6"/>
    <mergeCell ref="L6:M6"/>
    <mergeCell ref="D7:E8"/>
    <mergeCell ref="B7:C8"/>
    <mergeCell ref="J6:K6"/>
    <mergeCell ref="L7:M8"/>
    <mergeCell ref="H7:I8"/>
    <mergeCell ref="F7:G8"/>
    <mergeCell ref="J7:K8"/>
    <mergeCell ref="F6:G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50" customWidth="1" min="3" max="3"/>
    <col width="22" customWidth="1" min="4" max="4"/>
    <col width="22" customWidth="1" min="5" max="5"/>
    <col width="24" customWidth="1" min="6" max="6"/>
    <col width="18" customWidth="1" min="7" max="7"/>
    <col width="20" customWidth="1" min="8" max="8"/>
    <col width="20" customWidth="1" min="9" max="9"/>
    <col width="16" customWidth="1" min="10" max="10"/>
  </cols>
  <sheetData>
    <row r="2">
      <c r="B2" s="1" t="inlineStr">
        <is>
          <t>COSTO360 S.A.S. — COSTOS DIRECTOS DE SERVICIO (COGS) POR TALLER ACTIVO / MES</t>
        </is>
      </c>
      <c r="C2" t="inlineStr">
        <is>
          <t>NOTA 2026-09-26: modelo proyectado. Precio real Enterprise = $875.000 (ver hoja 00).</t>
        </is>
      </c>
    </row>
    <row r="3">
      <c r="B3" s="2" t="inlineStr">
        <is>
          <t>Costos marginales directos incurridos estrictamente al servir a cada taller según el plan contratado</t>
        </is>
      </c>
    </row>
    <row r="5">
      <c r="B5" s="9" t="inlineStr">
        <is>
          <t>Componente del Costo Directo</t>
        </is>
      </c>
      <c r="C5" s="9" t="inlineStr">
        <is>
          <t>Detalle Técnico y Parámetros Operativos</t>
        </is>
      </c>
      <c r="D5" s="9" t="inlineStr">
        <is>
          <t>Plan Starter (1 Usuario)</t>
        </is>
      </c>
      <c r="E5" s="9" t="inlineStr">
        <is>
          <t>Plan Pro (3 Usuarios)</t>
        </is>
      </c>
      <c r="F5" s="9" t="inlineStr">
        <is>
          <t>Plan Enterprise (10 Usuarios)</t>
        </is>
      </c>
    </row>
    <row r="6">
      <c r="B6" s="18" t="inlineStr">
        <is>
          <t>Precio Mensual de Suscripción (PVP)</t>
        </is>
      </c>
      <c r="C6" s="19" t="inlineStr">
        <is>
          <t>Tarifa oficial facturada mensualmente por taller</t>
        </is>
      </c>
      <c r="D6" s="12" t="n">
        <v>150000</v>
      </c>
      <c r="E6" s="12" t="n">
        <v>375000</v>
      </c>
      <c r="F6" s="12" t="n">
        <v>2410000</v>
      </c>
    </row>
    <row r="7">
      <c r="B7" s="18" t="inlineStr">
        <is>
          <t>Consumo IA Producto ('Cost')</t>
        </is>
      </c>
      <c r="C7" s="19" t="inlineStr">
        <is>
          <t>Claude Sonnet 5 + Fable (100%) + Gemini 3.1 Pro (30 conv/mes/usr)</t>
        </is>
      </c>
      <c r="D7" s="12" t="n">
        <v>0</v>
      </c>
      <c r="E7" s="12" t="n">
        <v>51124</v>
      </c>
      <c r="F7" s="12" t="n">
        <v>511240</v>
      </c>
    </row>
    <row r="8">
      <c r="B8" s="18" t="inlineStr">
        <is>
          <t>Agente de Atención al Cliente</t>
        </is>
      </c>
      <c r="C8" s="19" t="inlineStr">
        <is>
          <t>Soporte técnico N1 y resolución automatizada de dudas (~2 conv/taller/mes)</t>
        </is>
      </c>
      <c r="D8" s="12" t="n">
        <v>242</v>
      </c>
      <c r="E8" s="12" t="n">
        <v>242</v>
      </c>
      <c r="F8" s="12" t="n">
        <v>242</v>
      </c>
    </row>
    <row r="9">
      <c r="B9" s="18" t="inlineStr">
        <is>
          <t>Pasarela de Pagos Recurrente</t>
        </is>
      </c>
      <c r="C9" s="19" t="inlineStr">
        <is>
          <t>Comisión Wompi / ePayco (2,99% + $900 COP fijos + IVA)</t>
        </is>
      </c>
      <c r="D9" s="12">
        <f>D6*0.0299+900</f>
        <v/>
      </c>
      <c r="E9" s="12">
        <f>E6*0.0299+900</f>
        <v/>
      </c>
      <c r="F9" s="12">
        <f>F6*0.0299+900</f>
        <v/>
      </c>
    </row>
    <row r="10">
      <c r="B10" s="18" t="inlineStr">
        <is>
          <t>Infraestructura Cloud Prorrateada</t>
        </is>
      </c>
      <c r="C10" s="19" t="inlineStr">
        <is>
          <t>Cómputo Azure Container Apps + Supabase Pro + Vercel Pro + Resend</t>
        </is>
      </c>
      <c r="D10" s="12" t="n">
        <v>2253</v>
      </c>
      <c r="E10" s="12" t="n">
        <v>25408</v>
      </c>
      <c r="F10" s="12" t="n">
        <v>233941</v>
      </c>
    </row>
    <row r="11">
      <c r="B11" s="18" t="inlineStr">
        <is>
          <t>Mano de Obra Directa (MOD)</t>
        </is>
      </c>
      <c r="C11" s="19" t="inlineStr">
        <is>
          <t>Operación técnica de agentes, monitoreo y calibración asistida por el fundador</t>
        </is>
      </c>
      <c r="D11" s="12" t="n">
        <v>1566</v>
      </c>
      <c r="E11" s="12" t="n">
        <v>17671</v>
      </c>
      <c r="F11" s="12" t="n">
        <v>162685</v>
      </c>
    </row>
    <row r="12">
      <c r="B12" s="20" t="inlineStr">
        <is>
          <t>TOTAL COSTO DIRECTO UNITARIO (COGS)</t>
        </is>
      </c>
      <c r="C12" s="20" t="inlineStr">
        <is>
          <t>Suma de componentes variables por taller/mes</t>
        </is>
      </c>
      <c r="D12" s="21">
        <f>SUM(D7:D11)</f>
        <v/>
      </c>
      <c r="E12" s="21">
        <f>SUM(E7:E11)</f>
        <v/>
      </c>
      <c r="F12" s="21">
        <f>SUM(F7:F11)</f>
        <v/>
      </c>
    </row>
    <row r="13">
      <c r="B13" s="22" t="inlineStr">
        <is>
          <t>MARGEN BRUTO UNITARIO ($)</t>
        </is>
      </c>
      <c r="C13" s="22" t="inlineStr">
        <is>
          <t>Precio de Suscripción menos Costo Directo</t>
        </is>
      </c>
      <c r="D13" s="23">
        <f>D6-D12</f>
        <v/>
      </c>
      <c r="E13" s="23">
        <f>E6-E12</f>
        <v/>
      </c>
      <c r="F13" s="23">
        <f>F6-F12</f>
        <v/>
      </c>
    </row>
    <row r="14">
      <c r="B14" s="24" t="inlineStr">
        <is>
          <t>MARGEN BRUTO UNITARIO (%)</t>
        </is>
      </c>
      <c r="C14" s="24" t="inlineStr">
        <is>
          <t>Porcentaje de rentabilidad bruta sobre ventas</t>
        </is>
      </c>
      <c r="D14" s="25">
        <f>D13/D6</f>
        <v/>
      </c>
      <c r="E14" s="25">
        <f>E13/E6</f>
        <v/>
      </c>
      <c r="F14" s="25">
        <f>F13/F6</f>
        <v/>
      </c>
    </row>
    <row r="17">
      <c r="B17" s="8" t="inlineStr">
        <is>
          <t>SIMULACIÓN DE COSTOS DIRECTOS TOTALES (ESCENARIO BASE: 35 TALLERES ACTIVOS)</t>
        </is>
      </c>
    </row>
    <row r="19">
      <c r="B19" s="9" t="inlineStr">
        <is>
          <t>Plan de Suscripción</t>
        </is>
      </c>
      <c r="C19" s="9" t="inlineStr">
        <is>
          <t>Talleres Activos</t>
        </is>
      </c>
      <c r="D19" s="9" t="inlineStr">
        <is>
          <t>% Mezcla</t>
        </is>
      </c>
      <c r="E19" s="9" t="inlineStr">
        <is>
          <t>Precio Unitario</t>
        </is>
      </c>
      <c r="F19" s="9" t="inlineStr">
        <is>
          <t>Ingresos Mensuales</t>
        </is>
      </c>
      <c r="G19" s="9" t="inlineStr">
        <is>
          <t>COGS Unitario</t>
        </is>
      </c>
      <c r="H19" s="9" t="inlineStr">
        <is>
          <t>COGS Total Mensual</t>
        </is>
      </c>
      <c r="I19" s="9" t="inlineStr">
        <is>
          <t>Margen Bruto Total</t>
        </is>
      </c>
      <c r="J19" s="9" t="inlineStr">
        <is>
          <t>% Margen</t>
        </is>
      </c>
    </row>
    <row r="20">
      <c r="B20" s="10" t="inlineStr">
        <is>
          <t>Plan Starter</t>
        </is>
      </c>
      <c r="C20" s="11" t="n">
        <v>20</v>
      </c>
      <c r="D20" s="13">
        <f>C20/SUM($C$20:$C$22)</f>
        <v/>
      </c>
      <c r="E20" s="12">
        <f>D6</f>
        <v/>
      </c>
      <c r="F20" s="12">
        <f>C20*E20</f>
        <v/>
      </c>
      <c r="G20" s="12">
        <f>D12</f>
        <v/>
      </c>
      <c r="H20" s="12">
        <f>C20*G20</f>
        <v/>
      </c>
      <c r="I20" s="12">
        <f>F20-H20</f>
        <v/>
      </c>
      <c r="J20" s="13">
        <f>I20/F20</f>
        <v/>
      </c>
    </row>
    <row r="21">
      <c r="B21" s="10" t="inlineStr">
        <is>
          <t>Plan Pro</t>
        </is>
      </c>
      <c r="C21" s="11" t="n">
        <v>11</v>
      </c>
      <c r="D21" s="13">
        <f>C21/SUM($C$20:$C$22)</f>
        <v/>
      </c>
      <c r="E21" s="12">
        <f>E6</f>
        <v/>
      </c>
      <c r="F21" s="12">
        <f>C21*E21</f>
        <v/>
      </c>
      <c r="G21" s="12">
        <f>E12</f>
        <v/>
      </c>
      <c r="H21" s="12">
        <f>C21*G21</f>
        <v/>
      </c>
      <c r="I21" s="12">
        <f>F21-H21</f>
        <v/>
      </c>
      <c r="J21" s="13">
        <f>I21/F21</f>
        <v/>
      </c>
    </row>
    <row r="22">
      <c r="B22" s="10" t="inlineStr">
        <is>
          <t>Plan Enterprise</t>
        </is>
      </c>
      <c r="C22" s="11" t="n">
        <v>4</v>
      </c>
      <c r="D22" s="13">
        <f>C22/SUM($C$20:$C$22)</f>
        <v/>
      </c>
      <c r="E22" s="12">
        <f>F6</f>
        <v/>
      </c>
      <c r="F22" s="12">
        <f>C22*E22</f>
        <v/>
      </c>
      <c r="G22" s="12">
        <f>F12</f>
        <v/>
      </c>
      <c r="H22" s="12">
        <f>C22*G22</f>
        <v/>
      </c>
      <c r="I22" s="12">
        <f>F22-H22</f>
        <v/>
      </c>
      <c r="J22" s="13">
        <f>I22/F22</f>
        <v/>
      </c>
    </row>
    <row r="23">
      <c r="B23" s="20" t="inlineStr">
        <is>
          <t>TOTAL CONSOLIDADO MENSUAL</t>
        </is>
      </c>
      <c r="C23" s="26">
        <f>SUM(C20:C22)</f>
        <v/>
      </c>
      <c r="D23" s="27">
        <f>SUM(D20:D22)</f>
        <v/>
      </c>
      <c r="E23" s="28" t="inlineStr">
        <is>
          <t>-</t>
        </is>
      </c>
      <c r="F23" s="21">
        <f>SUM(F20:F22)</f>
        <v/>
      </c>
      <c r="G23" s="28" t="inlineStr">
        <is>
          <t>-</t>
        </is>
      </c>
      <c r="H23" s="21">
        <f>SUM(H20:H22)</f>
        <v/>
      </c>
      <c r="I23" s="21">
        <f>SUM(I20:I22)</f>
        <v/>
      </c>
      <c r="J23" s="27">
        <f>I23/F23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2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2" customWidth="1" min="4" max="4"/>
    <col width="22" customWidth="1" min="5" max="5"/>
    <col width="22" customWidth="1" min="6" max="6"/>
    <col width="60" customWidth="1" min="7" max="7"/>
  </cols>
  <sheetData>
    <row r="2">
      <c r="B2" s="1" t="inlineStr">
        <is>
          <t>COSTO360 S.A.S. — GASTOS GENERALES Y COSTOS INDIRECTOS (OpEx MENSUAL FIJO)</t>
        </is>
      </c>
    </row>
    <row r="3">
      <c r="B3" s="2" t="inlineStr">
        <is>
          <t>Presupuesto operativo mensual fijo e indispensable para administración, asesorías, I+D y marketing B2B</t>
        </is>
      </c>
    </row>
    <row r="5">
      <c r="A5" s="9" t="inlineStr">
        <is>
          <t>Código</t>
        </is>
      </c>
      <c r="B5" s="9" t="inlineStr">
        <is>
          <t>Categoría / Rubro de Gasto</t>
        </is>
      </c>
      <c r="C5" s="9" t="inlineStr">
        <is>
          <t>Proveedor / Servicio</t>
        </is>
      </c>
      <c r="D5" s="9" t="inlineStr">
        <is>
          <t>Cantidad</t>
        </is>
      </c>
      <c r="E5" s="9" t="inlineStr">
        <is>
          <t>Costo Mensual (COP)</t>
        </is>
      </c>
      <c r="F5" s="9" t="inlineStr">
        <is>
          <t>Costo Anual (COP)</t>
        </is>
      </c>
      <c r="G5" s="9" t="inlineStr">
        <is>
          <t>Justificación Operacional</t>
        </is>
      </c>
    </row>
    <row r="6">
      <c r="A6" s="29" t="inlineStr">
        <is>
          <t>3.1.1</t>
        </is>
      </c>
      <c r="B6" s="10" t="inlineStr">
        <is>
          <t>Asesoría Legal Externa (SLA, Habeas Data, B2B)</t>
        </is>
      </c>
      <c r="C6" s="10" t="inlineStr">
        <is>
          <t>Legal Help / Firma Boutique</t>
        </is>
      </c>
      <c r="D6" s="29" t="n">
        <v>1</v>
      </c>
      <c r="E6" s="12" t="n">
        <v>655401</v>
      </c>
      <c r="F6" s="12">
        <f>E6*12</f>
        <v/>
      </c>
      <c r="G6" s="10" t="inlineStr">
        <is>
          <t>Acompañamiento en contratos comerciales con talleres, términos de suscripción y protección de datos ($550.758 + 19% IVA)</t>
        </is>
      </c>
    </row>
    <row r="7">
      <c r="A7" s="29" t="inlineStr">
        <is>
          <t>3.1.2</t>
        </is>
      </c>
      <c r="B7" s="10" t="inlineStr">
        <is>
          <t>Asesoría Contable y Revisoría Tributaria</t>
        </is>
      </c>
      <c r="C7" s="10" t="inlineStr">
        <is>
          <t>Contador Titulado Externo</t>
        </is>
      </c>
      <c r="D7" s="29" t="n">
        <v>1</v>
      </c>
      <c r="E7" s="12" t="n">
        <v>300000</v>
      </c>
      <c r="F7" s="12">
        <f>E7*12</f>
        <v/>
      </c>
      <c r="G7" s="10" t="inlineStr">
        <is>
          <t>Declaraciones mensuales y bimestrales DIAN, conciliación bancaria y validación de balances auditados</t>
        </is>
      </c>
    </row>
    <row r="8">
      <c r="A8" s="29" t="inlineStr">
        <is>
          <t>3.2.1</t>
        </is>
      </c>
      <c r="B8" s="10" t="inlineStr">
        <is>
          <t>Claude Max (20x) — Entorno de Programación</t>
        </is>
      </c>
      <c r="C8" s="10" t="inlineStr">
        <is>
          <t>Anthropic PBC</t>
        </is>
      </c>
      <c r="D8" s="29" t="n">
        <v>1</v>
      </c>
      <c r="E8" s="12" t="n">
        <v>630000</v>
      </c>
      <c r="F8" s="12">
        <f>E8*12</f>
        <v/>
      </c>
      <c r="G8" s="10" t="inlineStr">
        <is>
          <t>Herramienta de desarrollo continuo del fundador para frontend, backend y agentes de IA (Claude Code)</t>
        </is>
      </c>
    </row>
    <row r="9">
      <c r="A9" s="29" t="inlineStr">
        <is>
          <t>3.2.2</t>
        </is>
      </c>
      <c r="B9" s="10" t="inlineStr">
        <is>
          <t>Google AI Ultra — Investigación y Multimodalidad</t>
        </is>
      </c>
      <c r="C9" s="10" t="inlineStr">
        <is>
          <t>Google Cloud</t>
        </is>
      </c>
      <c r="D9" s="29" t="n">
        <v>1</v>
      </c>
      <c r="E9" s="12" t="n">
        <v>630000</v>
      </c>
      <c r="F9" s="12">
        <f>E9*12</f>
        <v/>
      </c>
      <c r="G9" s="10" t="inlineStr">
        <is>
          <t>Modelos de razonamiento extendido para optimización de despieces y catálogo visual de piedras</t>
        </is>
      </c>
    </row>
    <row r="10">
      <c r="A10" s="29" t="inlineStr">
        <is>
          <t>3.2.3</t>
        </is>
      </c>
      <c r="B10" s="10" t="inlineStr">
        <is>
          <t>Microsoft 365 Business Premium</t>
        </is>
      </c>
      <c r="C10" s="10" t="inlineStr">
        <is>
          <t>Microsoft Corp.</t>
        </is>
      </c>
      <c r="D10" s="29" t="n">
        <v>1</v>
      </c>
      <c r="E10" s="12" t="n">
        <v>67059</v>
      </c>
      <c r="F10" s="12">
        <f>E10*12</f>
        <v/>
      </c>
      <c r="G10" s="10" t="inlineStr">
        <is>
          <t>Correo corporativo, seguridad perimetral Defender y almacenamiento administrativo cifrado</t>
        </is>
      </c>
    </row>
    <row r="11">
      <c r="A11" s="29" t="inlineStr">
        <is>
          <t>3.3.1</t>
        </is>
      </c>
      <c r="B11" s="10" t="inlineStr">
        <is>
          <t>Pauta Publicitaria Digital Segmentada</t>
        </is>
      </c>
      <c r="C11" s="10" t="inlineStr">
        <is>
          <t>LinkedIn Ads / Meta Ads</t>
        </is>
      </c>
      <c r="D11" s="29" t="n">
        <v>1</v>
      </c>
      <c r="E11" s="12" t="n">
        <v>500000</v>
      </c>
      <c r="F11" s="12">
        <f>E11*12</f>
        <v/>
      </c>
      <c r="G11" s="10" t="inlineStr">
        <is>
          <t>Campañas B2B continuas dirigidas a propietarios y administradores de marmolerías y canteras</t>
        </is>
      </c>
    </row>
    <row r="12">
      <c r="A12" s="29" t="inlineStr">
        <is>
          <t>3.3.2</t>
        </is>
      </c>
      <c r="B12" s="10" t="inlineStr">
        <is>
          <t>Generación Audiovisual Automatizada</t>
        </is>
      </c>
      <c r="C12" s="10" t="inlineStr">
        <is>
          <t>Higgsfield Ultra</t>
        </is>
      </c>
      <c r="D12" s="29" t="n">
        <v>1</v>
      </c>
      <c r="E12" s="12" t="n">
        <v>311850</v>
      </c>
      <c r="F12" s="12">
        <f>E12*12</f>
        <v/>
      </c>
      <c r="G12" s="10" t="inlineStr">
        <is>
          <t>Creación de contenido audiovisual para onboarding dinámico y demostraciones técnicas del software</t>
        </is>
      </c>
    </row>
    <row r="13">
      <c r="A13" s="29" t="inlineStr">
        <is>
          <t>3.3.3</t>
        </is>
      </c>
      <c r="B13" s="10" t="inlineStr">
        <is>
          <t>Facturación Electrónica DIAN y Contabilidad</t>
        </is>
      </c>
      <c r="C13" s="10" t="inlineStr">
        <is>
          <t>Alegra Pro</t>
        </is>
      </c>
      <c r="D13" s="29" t="n">
        <v>1</v>
      </c>
      <c r="E13" s="12" t="n">
        <v>99900</v>
      </c>
      <c r="F13" s="12">
        <f>E13*12</f>
        <v/>
      </c>
      <c r="G13" s="10" t="inlineStr">
        <is>
          <t>Emisión automática de facturas electrónicas a cada taller por la suscripción mensual</t>
        </is>
      </c>
    </row>
    <row r="14">
      <c r="A14" s="29" t="inlineStr">
        <is>
          <t>3.3.4</t>
        </is>
      </c>
      <c r="B14" s="10" t="inlineStr">
        <is>
          <t>Investigación Web y Prospección B2B</t>
        </is>
      </c>
      <c r="C14" s="10" t="inlineStr">
        <is>
          <t>Tavily / Serper API</t>
        </is>
      </c>
      <c r="D14" s="29" t="n">
        <v>1</v>
      </c>
      <c r="E14" s="12" t="n">
        <v>78216</v>
      </c>
      <c r="F14" s="12">
        <f>E14*12</f>
        <v/>
      </c>
      <c r="G14" s="10" t="inlineStr">
        <is>
          <t>Enriquecimiento automático de bases de prospectos de talleres y constructoras en Colombia</t>
        </is>
      </c>
    </row>
    <row r="15">
      <c r="A15" s="29" t="inlineStr">
        <is>
          <t>3.3.5</t>
        </is>
      </c>
      <c r="B15" s="10" t="inlineStr">
        <is>
          <t>CRM y Gestión de Pipeline Comercial</t>
        </is>
      </c>
      <c r="C15" s="10" t="inlineStr">
        <is>
          <t>Pipedrive Lite</t>
        </is>
      </c>
      <c r="D15" s="29" t="n">
        <v>1</v>
      </c>
      <c r="E15" s="12" t="n">
        <v>44100</v>
      </c>
      <c r="F15" s="12">
        <f>E15*12</f>
        <v/>
      </c>
      <c r="G15" s="10" t="inlineStr">
        <is>
          <t>Seguimiento al embudo de ventas y demostraciones comerciales agendadas por el fundador</t>
        </is>
      </c>
    </row>
    <row r="16">
      <c r="A16" s="29" t="inlineStr">
        <is>
          <t>3.3.6</t>
        </is>
      </c>
      <c r="B16" s="10" t="inlineStr">
        <is>
          <t>Diseño y Programación de Redes</t>
        </is>
      </c>
      <c r="C16" s="10" t="inlineStr">
        <is>
          <t>Canva Pro / Buffer</t>
        </is>
      </c>
      <c r="D16" s="29" t="n">
        <v>1</v>
      </c>
      <c r="E16" s="12" t="n">
        <v>60000</v>
      </c>
      <c r="F16" s="12">
        <f>E16*12</f>
        <v/>
      </c>
      <c r="G16" s="10" t="inlineStr">
        <is>
          <t>Mantenimiento de marca en redes sociales y piezas gráficas de capacitación</t>
        </is>
      </c>
    </row>
    <row r="17">
      <c r="A17" s="29" t="inlineStr">
        <is>
          <t>3.3.7</t>
        </is>
      </c>
      <c r="B17" s="10" t="inlineStr">
        <is>
          <t>Hosting Web Landing Page Desacoplada</t>
        </is>
      </c>
      <c r="C17" s="10" t="inlineStr">
        <is>
          <t>Cloudflare Pages</t>
        </is>
      </c>
      <c r="D17" s="29" t="n">
        <v>1</v>
      </c>
      <c r="E17" s="12" t="n">
        <v>0</v>
      </c>
      <c r="F17" s="12">
        <f>E17*12</f>
        <v/>
      </c>
      <c r="G17" s="10" t="inlineStr">
        <is>
          <t>Servidor estático de alta disponibilidad desacoplado del sistema web para cero impacto operativo</t>
        </is>
      </c>
    </row>
    <row r="18">
      <c r="A18" s="29" t="inlineStr">
        <is>
          <t>3.4.1</t>
        </is>
      </c>
      <c r="B18" s="10" t="inlineStr">
        <is>
          <t>Monitoreo de Errores y Telemetría Cloud</t>
        </is>
      </c>
      <c r="C18" s="10" t="inlineStr">
        <is>
          <t>Sentry Team</t>
        </is>
      </c>
      <c r="D18" s="29" t="n">
        <v>1</v>
      </c>
      <c r="E18" s="12" t="n">
        <v>82000</v>
      </c>
      <c r="F18" s="12">
        <f>E18*12</f>
        <v/>
      </c>
      <c r="G18" s="10" t="inlineStr">
        <is>
          <t>Monitoreo preventivo de excepciones en tiempo real en frontend y backend de producción</t>
        </is>
      </c>
    </row>
    <row r="19">
      <c r="A19" s="29" t="inlineStr">
        <is>
          <t>3.4.2</t>
        </is>
      </c>
      <c r="B19" s="10" t="inlineStr">
        <is>
          <t>Analítica de Uso y Comportamiento</t>
        </is>
      </c>
      <c r="C19" s="10" t="inlineStr">
        <is>
          <t>PostHog Cloud (Free)</t>
        </is>
      </c>
      <c r="D19" s="29" t="n">
        <v>1</v>
      </c>
      <c r="E19" s="12" t="n">
        <v>0</v>
      </c>
      <c r="F19" s="12">
        <f>E19*12</f>
        <v/>
      </c>
      <c r="G19" s="10" t="inlineStr">
        <is>
          <t>Telemetría de adopción en talleres durante sus primeros 30 días de suscripción</t>
        </is>
      </c>
    </row>
    <row r="20">
      <c r="A20" s="29" t="inlineStr">
        <is>
          <t>3.5.1</t>
        </is>
      </c>
      <c r="B20" s="10" t="inlineStr">
        <is>
          <t>Conectividad a Internet Simétrica Dedicada</t>
        </is>
      </c>
      <c r="C20" s="10" t="inlineStr">
        <is>
          <t>Claro / Movistar Fibra</t>
        </is>
      </c>
      <c r="D20" s="29" t="n">
        <v>1</v>
      </c>
      <c r="E20" s="12" t="n">
        <v>120579</v>
      </c>
      <c r="F20" s="12">
        <f>E20*12</f>
        <v/>
      </c>
      <c r="G20" s="10" t="inlineStr">
        <is>
          <t>Conectividad de fibra óptica simétrica de 300 Mbps para soporte continuo y operaciones cloud</t>
        </is>
      </c>
    </row>
    <row r="21">
      <c r="A21" s="20" t="inlineStr">
        <is>
          <t>TOTAL</t>
        </is>
      </c>
      <c r="B21" s="20" t="inlineStr">
        <is>
          <t>TOTAL GASTOS GENERALES MENSUALES (OpEx)</t>
        </is>
      </c>
      <c r="C21" s="20" t="inlineStr">
        <is>
          <t>15 Rubros Operativos</t>
        </is>
      </c>
      <c r="D21" s="28" t="inlineStr">
        <is>
          <t>-</t>
        </is>
      </c>
      <c r="E21" s="21">
        <f>SUM(E6:E20)</f>
        <v/>
      </c>
      <c r="F21" s="21">
        <f>SUM(F6:F20)</f>
        <v/>
      </c>
      <c r="G21" s="20" t="inlineStr">
        <is>
          <t>Presupuesto Fijo Indispensable de Operación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4" customWidth="1" min="3" max="3"/>
    <col width="18" customWidth="1" min="4" max="4"/>
    <col width="30" customWidth="1" min="5" max="5"/>
    <col width="24" customWidth="1" min="6" max="6"/>
    <col width="60" customWidth="1" min="7" max="7"/>
  </cols>
  <sheetData>
    <row r="2">
      <c r="B2" s="1" t="inlineStr">
        <is>
          <t>COSTO360 S.A.S. — ESTRUCTURA TRIBUTARIA Y OBLIGACIONES FISCALES (COLOMBIA)</t>
        </is>
      </c>
    </row>
    <row r="3">
      <c r="B3" s="2" t="inlineStr">
        <is>
          <t>Liquidación y tratamiento de obligaciones fiscales bajo el Régimen Simple de Tributación (RST)</t>
        </is>
      </c>
    </row>
    <row r="5">
      <c r="B5" s="9" t="inlineStr">
        <is>
          <t>Tributo / Tasa</t>
        </is>
      </c>
      <c r="C5" s="9" t="inlineStr">
        <is>
          <t>Autoridad Fiscal</t>
        </is>
      </c>
      <c r="D5" s="9" t="inlineStr">
        <is>
          <t>Tarifa Aplicable</t>
        </is>
      </c>
      <c r="E5" s="9" t="inlineStr">
        <is>
          <t>Base de Liquidación</t>
        </is>
      </c>
      <c r="F5" s="9" t="inlineStr">
        <is>
          <t>Impacto Mensual (35 Talleres)</t>
        </is>
      </c>
      <c r="G5" s="9" t="inlineStr">
        <is>
          <t>Mecanismo y Ventaja Operativa</t>
        </is>
      </c>
    </row>
    <row r="6">
      <c r="B6" s="10" t="inlineStr">
        <is>
          <t>Régimen Simple de Tributación (RST)</t>
        </is>
      </c>
      <c r="C6" s="29" t="inlineStr">
        <is>
          <t>DIAN (Nacional)</t>
        </is>
      </c>
      <c r="D6" s="29" t="inlineStr">
        <is>
          <t>8,3% consolidado</t>
        </is>
      </c>
      <c r="E6" s="29" t="inlineStr">
        <is>
          <t>Ingresos Operacionales Brutos</t>
        </is>
      </c>
      <c r="F6" s="12">
        <f> '02_Costos_Directos_COGS'!F23 * 0.083</f>
        <v/>
      </c>
      <c r="G6" s="10" t="inlineStr">
        <is>
          <t>Unifica Impuesto de Renta, ICA y aportes en un solo pago bimestral, eliminando el 35% de renta ordinaria.</t>
        </is>
      </c>
    </row>
    <row r="7">
      <c r="B7" s="10" t="inlineStr">
        <is>
          <t>Impuesto de Industria y Comercio (ICA)</t>
        </is>
      </c>
      <c r="C7" s="29" t="inlineStr">
        <is>
          <t>Distrito de Barranquilla</t>
        </is>
      </c>
      <c r="D7" s="29" t="inlineStr">
        <is>
          <t>0,966% (9.66/mil)</t>
        </is>
      </c>
      <c r="E7" s="29" t="inlineStr">
        <is>
          <t>Ingresos Brutos en la ciudad</t>
        </is>
      </c>
      <c r="F7" s="30" t="inlineStr">
        <is>
          <t>Incluido en RST</t>
        </is>
      </c>
      <c r="G7" s="10" t="inlineStr">
        <is>
          <t>Queda absorbido dentro de la tarifa unificada del RST, simplificando la declaración distrital.</t>
        </is>
      </c>
    </row>
    <row r="8">
      <c r="B8" s="10" t="inlineStr">
        <is>
          <t>Impuesto al Valor Agregado (IVA)</t>
        </is>
      </c>
      <c r="C8" s="29" t="inlineStr">
        <is>
          <t>DIAN (Nacional)</t>
        </is>
      </c>
      <c r="D8" s="29" t="inlineStr">
        <is>
          <t>19,0%</t>
        </is>
      </c>
      <c r="E8" s="29" t="inlineStr">
        <is>
          <t>Facturación nacional suscripciones</t>
        </is>
      </c>
      <c r="F8" s="12">
        <f> '02_Costos_Directos_COGS'!F23 * 0.19</f>
        <v/>
      </c>
      <c r="G8" s="10" t="inlineStr">
        <is>
          <t>Se factura al taller final en Colombia (recaudado y trasladado). Las exportaciones de software en LatAm son exentas (0%).</t>
        </is>
      </c>
    </row>
    <row r="9">
      <c r="B9" s="10" t="inlineStr">
        <is>
          <t>Retención en la Fuente Practicada</t>
        </is>
      </c>
      <c r="C9" s="29" t="inlineStr">
        <is>
          <t>Clientes / DIAN</t>
        </is>
      </c>
      <c r="D9" s="29" t="inlineStr">
        <is>
          <t>0,0% (Exento por RST)</t>
        </is>
      </c>
      <c r="E9" s="29" t="inlineStr">
        <is>
          <t>Pagos recibidos de talleres</t>
        </is>
      </c>
      <c r="F9" s="30" t="inlineStr">
        <is>
          <t>$ 0</t>
        </is>
      </c>
      <c r="G9" s="10" t="inlineStr">
        <is>
          <t>Por ley tributaria, las sociedades en RST NO sufren retención en la fuente por parte de sus clientes, protegiendo el 100% de la liquidez.</t>
        </is>
      </c>
    </row>
    <row r="10">
      <c r="B10" s="10" t="inlineStr">
        <is>
          <t>Gravamen a Movimientos Financieros (GMF)</t>
        </is>
      </c>
      <c r="C10" s="29" t="inlineStr">
        <is>
          <t>Bancos / DIAN</t>
        </is>
      </c>
      <c r="D10" s="29" t="inlineStr">
        <is>
          <t>0,4% (4 por mil)</t>
        </is>
      </c>
      <c r="E10" s="29" t="inlineStr">
        <is>
          <t>Dispersión de pagos y retiros</t>
        </is>
      </c>
      <c r="F10" s="12">
        <f> ('02_Costos_Directos_COGS'!H23 + '03_Gastos_Generales_OpEx'!E21) * 0.004</f>
        <v/>
      </c>
      <c r="G10" s="10" t="inlineStr">
        <is>
          <t>Impuesto sobre transferencias bancarias al pagar servidores cloud, APIs de IA y honorarios de asesoría.</t>
        </is>
      </c>
    </row>
    <row r="11">
      <c r="B11" s="10" t="inlineStr">
        <is>
          <t>Renovación Registro Mercantil</t>
        </is>
      </c>
      <c r="C11" s="29" t="inlineStr">
        <is>
          <t>Cámara de Comercio</t>
        </is>
      </c>
      <c r="D11" s="29" t="inlineStr">
        <is>
          <t>Tarifa según activos</t>
        </is>
      </c>
      <c r="E11" s="29" t="inlineStr">
        <is>
          <t>Cálculo mensualizado</t>
        </is>
      </c>
      <c r="F11" s="12" t="n">
        <v>25000</v>
      </c>
      <c r="G11" s="10" t="inlineStr">
        <is>
          <t>Cuota mensualizada para la renovación anual ordinaria de la matrícula mercantil de la sociedad.</t>
        </is>
      </c>
    </row>
    <row r="12">
      <c r="B12" s="20" t="inlineStr">
        <is>
          <t>TOTAL CARGA TRIBUTARIA DIRECTA MENSUAL (RST + GMF + CÁMARA)</t>
        </is>
      </c>
      <c r="C12" s="20" t="inlineStr">
        <is>
          <t>DIAN y Entidades</t>
        </is>
      </c>
      <c r="D12" s="20" t="inlineStr">
        <is>
          <t>~8,5% efectivo</t>
        </is>
      </c>
      <c r="E12" s="20" t="inlineStr">
        <is>
          <t>Ingresos y Egresos</t>
        </is>
      </c>
      <c r="F12" s="21">
        <f>F6+F10+F11</f>
        <v/>
      </c>
      <c r="G12" s="20" t="inlineStr">
        <is>
          <t>Impuesto directo a cargo de Costo360 (el IVA recaudado se traslada)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4" customWidth="1" min="3" max="3"/>
    <col width="20" customWidth="1" min="4" max="4"/>
    <col width="32" customWidth="1" min="5" max="5"/>
    <col width="24" customWidth="1" min="6" max="6"/>
    <col width="60" customWidth="1" min="7" max="7"/>
  </cols>
  <sheetData>
    <row r="2">
      <c r="B2" s="1" t="inlineStr">
        <is>
          <t>COSTO360 S.A.S. — RESERVAS DE CONTINGENCIA Y GESTIÓN DE RIESGO OPERATIVO</t>
        </is>
      </c>
    </row>
    <row r="3">
      <c r="B3" s="2" t="inlineStr">
        <is>
          <t>Provisiones mensuales sistemáticas para garantizar continuidad ante picos de uso en IA, servidores o mora</t>
        </is>
      </c>
    </row>
    <row r="5">
      <c r="B5" s="9" t="inlineStr">
        <is>
          <t>Código</t>
        </is>
      </c>
      <c r="C5" s="9" t="inlineStr">
        <is>
          <t>Concepto de Reserva / Contingencia</t>
        </is>
      </c>
      <c r="D5" s="9" t="inlineStr">
        <is>
          <t>% o Factor Aplicado</t>
        </is>
      </c>
      <c r="E5" s="9" t="inlineStr">
        <is>
          <t>Base de Cálculo</t>
        </is>
      </c>
      <c r="F5" s="9" t="inlineStr">
        <is>
          <t>Monto Mensual (35 Talleres)</t>
        </is>
      </c>
      <c r="G5" s="9" t="inlineStr">
        <is>
          <t>Objetivo y Mitigación de Riesgo</t>
        </is>
      </c>
    </row>
    <row r="6">
      <c r="B6" s="29" t="inlineStr">
        <is>
          <t>RES-01</t>
        </is>
      </c>
      <c r="C6" s="10" t="inlineStr">
        <is>
          <t>Colchón de Volatilidad en Tokens de IA</t>
        </is>
      </c>
      <c r="D6" s="29" t="inlineStr">
        <is>
          <t>15,0%</t>
        </is>
      </c>
      <c r="E6" s="29" t="inlineStr">
        <is>
          <t>Consumo mensual de IA de Producto</t>
        </is>
      </c>
      <c r="F6" s="12">
        <f> '02_Costos_Directos_COGS'!E7 * 11 * 0.15 + '02_Costos_Directos_COGS'!F7 * 4 * 0.15</f>
        <v/>
      </c>
      <c r="G6" s="10" t="inlineStr">
        <is>
          <t>Amortigua picos imprevistos de cotizaciones complejas o despieces grandes sin afectar el margen del plan.</t>
        </is>
      </c>
    </row>
    <row r="7">
      <c r="B7" s="29" t="inlineStr">
        <is>
          <t>RES-02</t>
        </is>
      </c>
      <c r="C7" s="10" t="inlineStr">
        <is>
          <t>Provisión para Contingencias de Servidores / Cloud</t>
        </is>
      </c>
      <c r="D7" s="29" t="inlineStr">
        <is>
          <t>5,0%</t>
        </is>
      </c>
      <c r="E7" s="29" t="inlineStr">
        <is>
          <t>Gastos Generales Fijos (OpEx)</t>
        </is>
      </c>
      <c r="F7" s="12">
        <f> '03_Gastos_Generales_OpEx'!E21 * 0.05</f>
        <v/>
      </c>
      <c r="G7" s="10" t="inlineStr">
        <is>
          <t>Fondo para escalamiento rápido de memoria, concurrencia o tráfico extraordinario en Vercel/Azure.</t>
        </is>
      </c>
    </row>
    <row r="8">
      <c r="B8" s="29" t="inlineStr">
        <is>
          <t>RES-03</t>
        </is>
      </c>
      <c r="C8" s="10" t="inlineStr">
        <is>
          <t>Provisión de Cartera Morosa y Churn</t>
        </is>
      </c>
      <c r="D8" s="29" t="inlineStr">
        <is>
          <t>3,0%</t>
        </is>
      </c>
      <c r="E8" s="29" t="inlineStr">
        <is>
          <t>Facturación Bruta Mensual</t>
        </is>
      </c>
      <c r="F8" s="12">
        <f> '02_Costos_Directos_COGS'!F23 * 0.03</f>
        <v/>
      </c>
      <c r="G8" s="10" t="inlineStr">
        <is>
          <t>Reserva preventiva por posibles demoras de recaudo en pasarelas bancarias o deserciones de talleres.</t>
        </is>
      </c>
    </row>
    <row r="9">
      <c r="B9" s="29" t="inlineStr">
        <is>
          <t>RES-04</t>
        </is>
      </c>
      <c r="C9" s="10" t="inlineStr">
        <is>
          <t>Fondo Discrecional de Soporte y Repuestos</t>
        </is>
      </c>
      <c r="D9" s="29" t="inlineStr">
        <is>
          <t>2,0%</t>
        </is>
      </c>
      <c r="E9" s="29" t="inlineStr">
        <is>
          <t>Gastos Generales Fijos (OpEx)</t>
        </is>
      </c>
      <c r="F9" s="12">
        <f> '03_Gastos_Generales_OpEx'!E21 * 0.02</f>
        <v/>
      </c>
      <c r="G9" s="10" t="inlineStr">
        <is>
          <t>Caja menor para reemplazo inmediato de periféricos, cables o viáticos urgentes de soporte presencial.</t>
        </is>
      </c>
    </row>
    <row r="10">
      <c r="B10" s="20" t="inlineStr">
        <is>
          <t>TOTAL</t>
        </is>
      </c>
      <c r="C10" s="20" t="inlineStr">
        <is>
          <t>TOTAL FONDOS DE RESERVA Y CONTINGENCIA MENSUAL</t>
        </is>
      </c>
      <c r="D10" s="20" t="inlineStr">
        <is>
          <t>~4,5% consolidado</t>
        </is>
      </c>
      <c r="E10" s="20" t="inlineStr">
        <is>
          <t>Riesgo Operativo</t>
        </is>
      </c>
      <c r="F10" s="21">
        <f>SUM(F6:F9)</f>
        <v/>
      </c>
      <c r="G10" s="20" t="inlineStr">
        <is>
          <t>Fondo de protección de liquidez retenido en caja mensualmente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E2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24" customWidth="1" min="3" max="3"/>
    <col width="18" customWidth="1" min="4" max="4"/>
    <col width="55" customWidth="1" min="5" max="5"/>
  </cols>
  <sheetData>
    <row r="2">
      <c r="B2" s="1" t="inlineStr">
        <is>
          <t>COSTO360 S.A.S. — ESTADO DE RESULTADOS OPERATIVO MENSUAL (P&amp;G CONTINUO)</t>
        </is>
      </c>
    </row>
    <row r="3">
      <c r="B3" s="2" t="inlineStr">
        <is>
          <t>Demostración de rentabilidad mensual en marcha bajo 35 talleres activos (Escenario Base)</t>
        </is>
      </c>
    </row>
    <row r="5">
      <c r="A5" s="9" t="inlineStr">
        <is>
          <t>Línea</t>
        </is>
      </c>
      <c r="B5" s="9" t="inlineStr">
        <is>
          <t>Concepto Financiero</t>
        </is>
      </c>
      <c r="C5" s="9" t="inlineStr">
        <is>
          <t>Monto Mensual (COP)</t>
        </is>
      </c>
      <c r="D5" s="9" t="inlineStr">
        <is>
          <t>% sobre Ingresos</t>
        </is>
      </c>
      <c r="E5" s="9" t="inlineStr">
        <is>
          <t>Fórmula / Origen Contable</t>
        </is>
      </c>
    </row>
    <row r="6">
      <c r="A6" s="31" t="inlineStr">
        <is>
          <t>1.0</t>
        </is>
      </c>
      <c r="B6" s="18" t="inlineStr">
        <is>
          <t>INGRESOS OPERACIONALES BRUTOS</t>
        </is>
      </c>
      <c r="C6" s="32">
        <f> '02_Costos_Directos_COGS'!F23</f>
        <v/>
      </c>
      <c r="D6" s="33">
        <f>C6/C6</f>
        <v/>
      </c>
      <c r="E6" s="34" t="inlineStr">
        <is>
          <t>Facturación total mensual de los 35 talleres activos</t>
        </is>
      </c>
    </row>
    <row r="7">
      <c r="A7" s="31" t="inlineStr">
        <is>
          <t>1.1</t>
        </is>
      </c>
      <c r="B7" s="5" t="inlineStr">
        <is>
          <t xml:space="preserve">  • Plan Starter (20 talleres × $150.000)</t>
        </is>
      </c>
      <c r="C7" s="35">
        <f> '02_Costos_Directos_COGS'!F20</f>
        <v/>
      </c>
      <c r="D7" s="33">
        <f>C7/$C$6</f>
        <v/>
      </c>
      <c r="E7" s="34" t="inlineStr">
        <is>
          <t>Suscripciones básicas de taller pequeño</t>
        </is>
      </c>
    </row>
    <row r="8">
      <c r="A8" s="31" t="inlineStr">
        <is>
          <t>1.2</t>
        </is>
      </c>
      <c r="B8" s="5" t="inlineStr">
        <is>
          <t xml:space="preserve">  • Plan Pro (11 talleres × $375.000)</t>
        </is>
      </c>
      <c r="C8" s="35">
        <f> '02_Costos_Directos_COGS'!F21</f>
        <v/>
      </c>
      <c r="D8" s="33">
        <f>C8/$C$6</f>
        <v/>
      </c>
      <c r="E8" s="34" t="inlineStr">
        <is>
          <t>Suscripciones medianas con asistente Cost</t>
        </is>
      </c>
    </row>
    <row r="9">
      <c r="A9" s="31" t="inlineStr">
        <is>
          <t>1.3</t>
        </is>
      </c>
      <c r="B9" s="5" t="inlineStr">
        <is>
          <t xml:space="preserve">  • Plan Enterprise (4 talleres × $2.410.000)</t>
        </is>
      </c>
      <c r="C9" s="35">
        <f> '02_Costos_Directos_COGS'!F22</f>
        <v/>
      </c>
      <c r="D9" s="33">
        <f>C9/$C$6</f>
        <v/>
      </c>
      <c r="E9" s="34" t="inlineStr">
        <is>
          <t>Suscripciones premium con auditoría Fable</t>
        </is>
      </c>
    </row>
    <row r="10">
      <c r="A10" s="31" t="inlineStr">
        <is>
          <t>2.0</t>
        </is>
      </c>
      <c r="B10" s="18" t="inlineStr">
        <is>
          <t>(-) COSTOS DIRECTOS DEL SERVICIO (COGS)</t>
        </is>
      </c>
      <c r="C10" s="32">
        <f> '02_Costos_Directos_COGS'!H23</f>
        <v/>
      </c>
      <c r="D10" s="33">
        <f>C10/$C$6</f>
        <v/>
      </c>
      <c r="E10" s="34" t="inlineStr">
        <is>
          <t>Consumo IA + Pasarelas + Infraestructura Cloud + MOD</t>
        </is>
      </c>
    </row>
    <row r="11">
      <c r="A11" s="36" t="inlineStr">
        <is>
          <t>3.0</t>
        </is>
      </c>
      <c r="B11" s="24" t="inlineStr">
        <is>
          <t>(=) UTILIDAD BRUTA OPERATIVA</t>
        </is>
      </c>
      <c r="C11" s="37">
        <f>C6-C10</f>
        <v/>
      </c>
      <c r="D11" s="25">
        <f>C11/$C$6</f>
        <v/>
      </c>
      <c r="E11" s="38" t="inlineStr">
        <is>
          <t>Ingresos Operacionales menos Costos Directos</t>
        </is>
      </c>
    </row>
    <row r="13">
      <c r="A13" s="31" t="inlineStr">
        <is>
          <t>4.0</t>
        </is>
      </c>
      <c r="B13" s="5" t="inlineStr">
        <is>
          <t>(-) GASTOS GENERALES Y OPERATIVOS (OpEx)</t>
        </is>
      </c>
      <c r="C13" s="35">
        <f> '03_Gastos_Generales_OpEx'!E21</f>
        <v/>
      </c>
      <c r="D13" s="33">
        <f>C13/$C$6</f>
        <v/>
      </c>
      <c r="E13" s="34" t="inlineStr">
        <is>
          <t>Suma de 15 gastos fijos independientes del volumen</t>
        </is>
      </c>
    </row>
    <row r="14">
      <c r="A14" s="31" t="inlineStr">
        <is>
          <t>4.1</t>
        </is>
      </c>
      <c r="B14" s="5" t="inlineStr">
        <is>
          <t xml:space="preserve">  • Asesorías Profesionales (Legal y Contable)</t>
        </is>
      </c>
      <c r="C14" s="35">
        <f> '03_Gastos_Generales_OpEx'!E6 + '03_Gastos_Generales_OpEx'!E7</f>
        <v/>
      </c>
      <c r="D14" s="33">
        <f>C14/$C$6</f>
        <v/>
      </c>
      <c r="E14" s="34" t="inlineStr">
        <is>
          <t>Abogado boutique ($655k) + Contador titulado ($300k)</t>
        </is>
      </c>
    </row>
    <row r="15">
      <c r="A15" s="31" t="inlineStr">
        <is>
          <t>4.2</t>
        </is>
      </c>
      <c r="B15" s="5" t="inlineStr">
        <is>
          <t xml:space="preserve">  • Herramientas del Fundador (Claude Max, Google AI, M365)</t>
        </is>
      </c>
      <c r="C15" s="35">
        <f> '03_Gastos_Generales_OpEx'!E8 + '03_Gastos_Generales_OpEx'!E9 + '03_Gastos_Generales_OpEx'!E10</f>
        <v/>
      </c>
      <c r="D15" s="33">
        <f>C15/$C$6</f>
        <v/>
      </c>
      <c r="E15" s="34" t="inlineStr">
        <is>
          <t>Entorno de desarrollo y oficina técnica del fundador</t>
        </is>
      </c>
    </row>
    <row r="16">
      <c r="A16" s="31" t="inlineStr">
        <is>
          <t>4.3</t>
        </is>
      </c>
      <c r="B16" s="5" t="inlineStr">
        <is>
          <t xml:space="preserve">  • Marketing, Pauta y Adquisición B2B</t>
        </is>
      </c>
      <c r="C16" s="35">
        <f>SUM('03_Gastos_Generales_OpEx'!E11:E17)</f>
        <v/>
      </c>
      <c r="D16" s="33">
        <f>C16/$C$6</f>
        <v/>
      </c>
      <c r="E16" s="34" t="inlineStr">
        <is>
          <t>Pauta Ads + Higgsfield + Alegra + Pipedrive + Tavily + Canva</t>
        </is>
      </c>
    </row>
    <row r="17">
      <c r="A17" s="31" t="inlineStr">
        <is>
          <t>4.4</t>
        </is>
      </c>
      <c r="B17" s="5" t="inlineStr">
        <is>
          <t xml:space="preserve">  • Observabilidad, Calidad y Conectividad</t>
        </is>
      </c>
      <c r="C17" s="35">
        <f> '03_Gastos_Generales_OpEx'!E18 + '03_Gastos_Generales_OpEx'!E20</f>
        <v/>
      </c>
      <c r="D17" s="33">
        <f>C17/$C$6</f>
        <v/>
      </c>
      <c r="E17" s="34" t="inlineStr">
        <is>
          <t>Sentry Team + Fibra óptica simétrica dedicada</t>
        </is>
      </c>
    </row>
    <row r="18">
      <c r="A18" s="36" t="inlineStr">
        <is>
          <t>5.0</t>
        </is>
      </c>
      <c r="B18" s="24" t="inlineStr">
        <is>
          <t>(=) EBITDA OPERATIVO MENSUAL</t>
        </is>
      </c>
      <c r="C18" s="37">
        <f>C11-C13</f>
        <v/>
      </c>
      <c r="D18" s="25">
        <f>C18/$C$6</f>
        <v/>
      </c>
      <c r="E18" s="38" t="inlineStr">
        <is>
          <t>Utilidad operativa antes de impuestos y reservas</t>
        </is>
      </c>
    </row>
    <row r="20">
      <c r="A20" s="31" t="inlineStr">
        <is>
          <t>6.0</t>
        </is>
      </c>
      <c r="B20" s="5" t="inlineStr">
        <is>
          <t>(-) RESERVAS DE CONTINGENCIA MENSUALES</t>
        </is>
      </c>
      <c r="C20" s="35">
        <f> '05_Reservas_y_Contingencias'!F10</f>
        <v/>
      </c>
      <c r="D20" s="33">
        <f>C20/$C$6</f>
        <v/>
      </c>
      <c r="E20" s="34" t="inlineStr">
        <is>
          <t>Colchón de tokens IA + Contingencias Cloud + Provisión Churn</t>
        </is>
      </c>
    </row>
    <row r="21">
      <c r="A21" s="31" t="inlineStr">
        <is>
          <t>7.0</t>
        </is>
      </c>
      <c r="B21" s="5" t="inlineStr">
        <is>
          <t>(-) IMPUESTOS Y TASAS DIRECTAS</t>
        </is>
      </c>
      <c r="C21" s="35">
        <f> '04_Impuestos_y_Tasas'!F12</f>
        <v/>
      </c>
      <c r="D21" s="33">
        <f>C21/$C$6</f>
        <v/>
      </c>
      <c r="E21" s="34" t="inlineStr">
        <is>
          <t>RST (8,3%) + Gravamen GMF (4x1000) + Cámara de Comercio</t>
        </is>
      </c>
    </row>
    <row r="22">
      <c r="A22" s="39" t="inlineStr">
        <is>
          <t>8.0</t>
        </is>
      </c>
      <c r="B22" s="40" t="inlineStr">
        <is>
          <t>(=) UTILIDAD NETA MENSUAL (BENEFICIO FINAL)</t>
        </is>
      </c>
      <c r="C22" s="41">
        <f>C18-C20-C21</f>
        <v/>
      </c>
      <c r="D22" s="42">
        <f>C22/$C$6</f>
        <v/>
      </c>
      <c r="E22" s="43" t="inlineStr">
        <is>
          <t>Beneficio neto real transferido a caja al final de cada mes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2026-09-16T23:20:59Z</dcterms:created>
  <dcterms:modified xmlns:dcterms="http://purl.org/dc/terms/" xmlns:xsi="http://www.w3.org/2001/XMLSchema-instance" xsi:type="dcterms:W3CDTF">2026-09-26T07:37:22Z</dcterms:modified>
</cp:coreProperties>
</file>