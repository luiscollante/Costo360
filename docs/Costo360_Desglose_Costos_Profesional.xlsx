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Costo360\docs\"/>
    </mc:Choice>
  </mc:AlternateContent>
  <xr:revisionPtr revIDLastSave="0" documentId="13_ncr:1_{4FE7EAC1-F7A8-4EFE-BDDF-0C6E9BC71B02}" xr6:coauthVersionLast="47" xr6:coauthVersionMax="47" xr10:uidLastSave="{00000000-0000-0000-0000-000000000000}"/>
  <bookViews>
    <workbookView xWindow="-108" yWindow="-108" windowWidth="23256" windowHeight="12456" activeTab="1" xr2:uid="{00000000-000D-0000-FFFF-FFFF00000000}"/>
  </bookViews>
  <sheets>
    <sheet name="Portada" sheetId="1" r:id="rId1"/>
    <sheet name="Resumen Ejecutivo" sheetId="2" r:id="rId2"/>
    <sheet name="02_Costos_Directos_COGS" sheetId="3" r:id="rId3"/>
    <sheet name="03_Precios_Unitarios_Cantidades" sheetId="4" r:id="rId4"/>
    <sheet name="04_Costos_Indirectos_OpEx" sheetId="5" r:id="rId5"/>
    <sheet name="05_Impuestos_y_Tasas" sheetId="6" r:id="rId6"/>
    <sheet name="06_Reservas_Contingencia" sheetId="7" r:id="rId7"/>
    <sheet name="07_Estado_Resultados_PyG" sheetId="8" r:id="rId8"/>
    <sheet name="08_Actualizacion_Operativa" sheetId="9" r:id="rId9"/>
    <sheet name="09_Simulacion_Consumo_Exagerado" sheetId="10" r:id="rId10"/>
    <sheet name="10_Glosario_de_Termino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10" l="1"/>
  <c r="B34" i="10"/>
  <c r="B35" i="10" s="1"/>
  <c r="B22" i="10"/>
  <c r="E22" i="10" s="1"/>
  <c r="D21" i="10"/>
  <c r="B60" i="10" s="1"/>
  <c r="B8" i="10"/>
  <c r="B12" i="10" s="1"/>
  <c r="B14" i="10" s="1"/>
  <c r="D8" i="10" s="1"/>
  <c r="E8" i="10" s="1"/>
  <c r="B59" i="10" s="1"/>
  <c r="E7" i="10"/>
  <c r="D7" i="10"/>
  <c r="E6" i="9"/>
  <c r="E10" i="9" s="1"/>
  <c r="D6" i="9"/>
  <c r="E5" i="7"/>
  <c r="C13" i="5"/>
  <c r="E6" i="7" s="1"/>
  <c r="C6" i="4"/>
  <c r="D5" i="4"/>
  <c r="C5" i="4"/>
  <c r="B22" i="3"/>
  <c r="B23" i="2" s="1"/>
  <c r="D21" i="3"/>
  <c r="E21" i="3" s="1"/>
  <c r="D20" i="3"/>
  <c r="E20" i="3" s="1"/>
  <c r="D19" i="3"/>
  <c r="E19" i="3" s="1"/>
  <c r="D8" i="3"/>
  <c r="D11" i="3" s="1"/>
  <c r="C8" i="3"/>
  <c r="C11" i="3" s="1"/>
  <c r="B8" i="3"/>
  <c r="B11" i="3" s="1"/>
  <c r="E23" i="2"/>
  <c r="D23" i="2"/>
  <c r="C23" i="2"/>
  <c r="E5" i="4" l="1"/>
  <c r="C22" i="10"/>
  <c r="D22" i="10" s="1"/>
  <c r="B37" i="10"/>
  <c r="B44" i="10" s="1"/>
  <c r="B45" i="10" s="1"/>
  <c r="B61" i="10"/>
  <c r="B49" i="10"/>
  <c r="B48" i="10"/>
  <c r="B47" i="10"/>
  <c r="B46" i="10"/>
  <c r="F19" i="3"/>
  <c r="G19" i="3" s="1"/>
  <c r="B12" i="3"/>
  <c r="F20" i="3"/>
  <c r="G20" i="3" s="1"/>
  <c r="C30" i="9"/>
  <c r="C12" i="3"/>
  <c r="B30" i="9" s="1"/>
  <c r="F21" i="3"/>
  <c r="G21" i="3" s="1"/>
  <c r="H21" i="3" s="1"/>
  <c r="I21" i="3" s="1"/>
  <c r="D12" i="3"/>
  <c r="E22" i="3"/>
  <c r="H20" i="3"/>
  <c r="I20" i="3" s="1"/>
  <c r="D8" i="4"/>
  <c r="C8" i="4" s="1"/>
  <c r="E8" i="4" s="1"/>
  <c r="C21" i="3"/>
  <c r="C20" i="3"/>
  <c r="D6" i="4"/>
  <c r="E6" i="4" s="1"/>
  <c r="C19" i="3"/>
  <c r="D9" i="4"/>
  <c r="C9" i="4" s="1"/>
  <c r="E9" i="4" s="1"/>
  <c r="B8" i="8"/>
  <c r="E8" i="7"/>
  <c r="D7" i="4"/>
  <c r="C7" i="4" s="1"/>
  <c r="E7" i="4" s="1"/>
  <c r="D30" i="9" l="1"/>
  <c r="E10" i="4"/>
  <c r="F23" i="2"/>
  <c r="E5" i="6"/>
  <c r="E7" i="7"/>
  <c r="E9" i="7" s="1"/>
  <c r="B5" i="8"/>
  <c r="E7" i="6"/>
  <c r="D21" i="2"/>
  <c r="D22" i="2"/>
  <c r="H19" i="3"/>
  <c r="G22" i="3"/>
  <c r="A10" i="2"/>
  <c r="B19" i="9"/>
  <c r="C19" i="9" s="1"/>
  <c r="D19" i="9" s="1"/>
  <c r="C21" i="2"/>
  <c r="C22" i="2"/>
  <c r="C22" i="3"/>
  <c r="B10" i="8" l="1"/>
  <c r="C9" i="7"/>
  <c r="E22" i="2"/>
  <c r="F22" i="2" s="1"/>
  <c r="G22" i="2"/>
  <c r="A6" i="2"/>
  <c r="B16" i="9"/>
  <c r="B6" i="8"/>
  <c r="B7" i="8" s="1"/>
  <c r="E9" i="6"/>
  <c r="G23" i="2"/>
  <c r="E21" i="2"/>
  <c r="F21" i="2" s="1"/>
  <c r="E11" i="6"/>
  <c r="H22" i="3"/>
  <c r="I19" i="3"/>
  <c r="E11" i="4"/>
  <c r="H21" i="2" l="1"/>
  <c r="I21" i="2" s="1"/>
  <c r="G21" i="2"/>
  <c r="H22" i="2"/>
  <c r="I22" i="2" s="1"/>
  <c r="C16" i="9"/>
  <c r="B11" i="8"/>
  <c r="C11" i="6"/>
  <c r="C7" i="8"/>
  <c r="J6" i="2" s="1"/>
  <c r="G6" i="2"/>
  <c r="B9" i="8"/>
  <c r="H23" i="2"/>
  <c r="I22" i="3"/>
  <c r="I23" i="2" s="1"/>
  <c r="D6" i="2"/>
  <c r="B17" i="9"/>
  <c r="C17" i="9" s="1"/>
  <c r="J10" i="2"/>
  <c r="B21" i="9"/>
  <c r="C21" i="9" s="1"/>
  <c r="D21" i="9" s="1"/>
  <c r="B12" i="8" l="1"/>
  <c r="C9" i="8"/>
  <c r="D10" i="2"/>
  <c r="G10" i="2"/>
  <c r="B23" i="9"/>
  <c r="D17" i="9"/>
  <c r="C22" i="9"/>
  <c r="C23" i="9" s="1"/>
  <c r="D16" i="9"/>
  <c r="C18" i="9"/>
  <c r="B18" i="9"/>
  <c r="B20" i="9" s="1"/>
  <c r="D23" i="9" l="1"/>
  <c r="B24" i="9"/>
  <c r="C20" i="9"/>
  <c r="D18" i="9"/>
  <c r="C12" i="8"/>
  <c r="D14" i="2" s="1"/>
  <c r="A14" i="2"/>
  <c r="C24" i="9" l="1"/>
  <c r="D24" i="9" s="1"/>
  <c r="B26" i="9" s="1"/>
  <c r="D20" i="9"/>
</calcChain>
</file>

<file path=xl/sharedStrings.xml><?xml version="1.0" encoding="utf-8"?>
<sst xmlns="http://schemas.openxmlformats.org/spreadsheetml/2006/main" count="350" uniqueCount="304">
  <si>
    <t>RESUMEN EJECUTIVO</t>
  </si>
  <si>
    <t>Costo360 S.A.S. — Corte: septiembre de 2026. Todas las cifras enlazadas por formula a la Hoja 07 (Estado de Resultados).</t>
  </si>
  <si>
    <t>Ingresos Mensuales</t>
  </si>
  <si>
    <t>Costos Directos (COGS)</t>
  </si>
  <si>
    <t>Margen Bruto ($)</t>
  </si>
  <si>
    <t>Margen Bruto (%)</t>
  </si>
  <si>
    <t>Costos Indirectos (OpEx)</t>
  </si>
  <si>
    <t>EBITDA</t>
  </si>
  <si>
    <t>Impuestos y Tasas</t>
  </si>
  <si>
    <t>Reservas de Contingencia</t>
  </si>
  <si>
    <t>Utilidad Neta Mensual ($)</t>
  </si>
  <si>
    <t>Utilidad Neta Mensual (%)</t>
  </si>
  <si>
    <t>Analisis de Sensibilidad — 3 Escenarios de Crecimiento</t>
  </si>
  <si>
    <t>Arranque y Punto de Equilibrio usan la misma mezcla proporcional de planes que el Regimen Pleno (50 Starter : 42 Pro : 16 Enterprise), calculados por formula sobre los costos unitarios de la Hoja 02.</t>
  </si>
  <si>
    <t>Escenario</t>
  </si>
  <si>
    <t># Talleres</t>
  </si>
  <si>
    <t>Starter</t>
  </si>
  <si>
    <t>Pro</t>
  </si>
  <si>
    <t>Enterprise</t>
  </si>
  <si>
    <t>Ingresos (COP)</t>
  </si>
  <si>
    <t>COGS (COP)</t>
  </si>
  <si>
    <t>Margen Bruto (COP)</t>
  </si>
  <si>
    <t>Arranque</t>
  </si>
  <si>
    <t>Punto de equilibrio</t>
  </si>
  <si>
    <t>Regimen pleno (108 talleres)</t>
  </si>
  <si>
    <t>Fuente: docs/PLAN_COSTOS_COMPLETO_COSTO360.md (modelo financiero oficial, actualizado 2026-08-22). Ver Hoja 07 para el detalle completo del Estado de Resultados.</t>
  </si>
  <si>
    <t>COSTO360 S.A.S.</t>
  </si>
  <si>
    <t>Desglose de Costos Operativo Mensual — Costos Directos, Indirectos, Precios Unitarios, Impuestos, Reservas y Margen de Beneficio</t>
  </si>
  <si>
    <t>Corte: septiembre de 2026</t>
  </si>
  <si>
    <t>Elaborado sobre datos reales investigados — ver notas de fuente en cada hoja. TRM asumida: $3.048,12 COP/USD (Banco de la Republica, referencia usada en el modelo financiero base).</t>
  </si>
  <si>
    <t>02. COSTOS DIRECTOS DEL SERVICIO (COGS) — Costo Unitario por Plan</t>
  </si>
  <si>
    <t>Fuente: docs/PLAN_COSTOS_COMPLETO_COSTO360.md (modelo financiero oficial, actualizado 2026-08-22).</t>
  </si>
  <si>
    <t>Componente (costo unitario mensual, COP)</t>
  </si>
  <si>
    <t>Precio mensual de suscripcion (PVP)</t>
  </si>
  <si>
    <t>Consumo IA producto "Cost" (Claude Sonnet 5 + Fable 100% + Gemini 3.1 Pro, 30 conv/mes/usuario)</t>
  </si>
  <si>
    <t>Agente de Atencion al Cliente</t>
  </si>
  <si>
    <t>Comision pasarela de pago (Wompi/ePayco, 2,99% + $900)</t>
  </si>
  <si>
    <t>Infraestructura cloud prorrateada (Azure Container Apps + Supabase Pro + Vercel Pro + Resend)</t>
  </si>
  <si>
    <t>Mano de obra directa (operacion de agentes por el fundador)</t>
  </si>
  <si>
    <t>TOTAL COSTO DIRECTO UNITARIO (COGS)</t>
  </si>
  <si>
    <t>Margen bruto unitario %</t>
  </si>
  <si>
    <t>Comision pasarela de pago calculada con formula = precio*2,99% + $900 (Wompi/ePayco).</t>
  </si>
  <si>
    <t>Simulacion consolidada — 108 talleres activos (escala de regimen pleno)</t>
  </si>
  <si>
    <t>Plan</t>
  </si>
  <si>
    <t>Cantidad</t>
  </si>
  <si>
    <t>% Mezcla</t>
  </si>
  <si>
    <t>Precio Unitario</t>
  </si>
  <si>
    <t>Ingresos</t>
  </si>
  <si>
    <t>COGS Unitario</t>
  </si>
  <si>
    <t>COGS Total</t>
  </si>
  <si>
    <t>Margen Bruto $</t>
  </si>
  <si>
    <t>Margen Bruto %</t>
  </si>
  <si>
    <t>TOTAL</t>
  </si>
  <si>
    <t>—</t>
  </si>
  <si>
    <t>Fuente: docs/PLAN_COSTOS_COMPLETO_COSTO360.md (modelo financiero oficial, actualizado 2026-08-22). Mezcla 108 talleres: 50 Starter + 42 Pro + 16 Enterprise.</t>
  </si>
  <si>
    <t>03. PRECIOS UNITARIOS x CANTIDADES — Trazabilidad de Costos (Cost Breakdown Structure)</t>
  </si>
  <si>
    <t>De donde sale cada peso del COGS: cada fila reconstruye el total de la Hoja 02 a partir de precio unitario x cantidad/mes (escenario 108 talleres).</t>
  </si>
  <si>
    <t>Componente</t>
  </si>
  <si>
    <t>Unidad de medida</t>
  </si>
  <si>
    <t>Precio Unitario (COP)</t>
  </si>
  <si>
    <t>Cantidad/mes (108 talleres)</t>
  </si>
  <si>
    <t>Subtotal mensual (COP)</t>
  </si>
  <si>
    <t>Consumo IA producto "Cost" (Claude Sonnet 5 + Fable 100% + Gemini 3.1 Pro)</t>
  </si>
  <si>
    <t>Por usuario con acceso al producto/mes (1 usuario/taller en Starter-Pro, 10 usuarios/taller en Enterprise — supuesto)</t>
  </si>
  <si>
    <t>Por taller/mes (tarifa plana, todos los planes)</t>
  </si>
  <si>
    <t>Por transaccion de cobro/taller/mes (precio unitario promedio ponderado por mezcla de planes)</t>
  </si>
  <si>
    <t>Por taller/mes (precio unitario promedio ponderado por mezcla de planes)</t>
  </si>
  <si>
    <t>TOTAL COGS (trazado componente por componente)</t>
  </si>
  <si>
    <t>Verificacion vs. Hoja 02 (debe ser 0)</t>
  </si>
  <si>
    <t>04. COSTOS INDIRECTOS (OpEx) — Gastos Fijos Mensuales de Operacion</t>
  </si>
  <si>
    <t>Costos fijos que NO escalan con la cantidad de talleres activos.</t>
  </si>
  <si>
    <t>Rubro</t>
  </si>
  <si>
    <t>Proveedor</t>
  </si>
  <si>
    <t>Costo mensual (COP)</t>
  </si>
  <si>
    <t>Justificacion</t>
  </si>
  <si>
    <t>Asesoria legal externa</t>
  </si>
  <si>
    <t>Legal Help / firma boutique</t>
  </si>
  <si>
    <t>Plan "departamento legal externo", $550.758 + IVA 19%</t>
  </si>
  <si>
    <t>Asesoria contable y tributaria</t>
  </si>
  <si>
    <t>Contador titulado externo</t>
  </si>
  <si>
    <t>Declaraciones DIAN, conciliacion, balances</t>
  </si>
  <si>
    <t>Claude Max (20x)</t>
  </si>
  <si>
    <t>Anthropic PBC</t>
  </si>
  <si>
    <t>Entorno de desarrollo continuo del fundador</t>
  </si>
  <si>
    <t>Google AI Ultra</t>
  </si>
  <si>
    <t>Google</t>
  </si>
  <si>
    <t>Investigacion y multimodalidad para desarrollo</t>
  </si>
  <si>
    <t>Microsoft 365 Business Premium</t>
  </si>
  <si>
    <t>Microsoft</t>
  </si>
  <si>
    <t>Correo corporativo + seguridad Defender</t>
  </si>
  <si>
    <t>Marketing y publicidad (pauta paga)</t>
  </si>
  <si>
    <t>LinkedIn/Google Ads</t>
  </si>
  <si>
    <t>Campanas B2B sector construccion</t>
  </si>
  <si>
    <t>Diseno y contenido</t>
  </si>
  <si>
    <t>Canva Pro / Buffer</t>
  </si>
  <si>
    <t>Contenido de marca en redes</t>
  </si>
  <si>
    <t>Otros gastos administrativos (colchon)</t>
  </si>
  <si>
    <t>Colchon documentado en el modelo oficial para imprevistos administrativos menores no descritos linea por linea</t>
  </si>
  <si>
    <t>TOTAL COSTOS INDIRECTOS (OpEx)</t>
  </si>
  <si>
    <t>05. IMPUESTOS Y TASAS — Regimen Simple de Tributacion (RST), Colombia</t>
  </si>
  <si>
    <t>Impacto mensual calculado sobre el escenario de 108 talleres activos (Hoja 02).</t>
  </si>
  <si>
    <t>Tributo</t>
  </si>
  <si>
    <t>Autoridad</t>
  </si>
  <si>
    <t>Tarifa</t>
  </si>
  <si>
    <t>Base</t>
  </si>
  <si>
    <t>Impacto mensual (COP)</t>
  </si>
  <si>
    <t>Nota</t>
  </si>
  <si>
    <t>Regimen Simple de Tributacion (RST)</t>
  </si>
  <si>
    <t>DIAN</t>
  </si>
  <si>
    <t>Ingresos brutos</t>
  </si>
  <si>
    <t>Unifica renta + ICA + aportes en un solo pago, reemplaza el 35% de renta ordinaria</t>
  </si>
  <si>
    <t>Industria y Comercio (ICA)</t>
  </si>
  <si>
    <t>Distrito/municipio</t>
  </si>
  <si>
    <t>Ingresos brutos en la ciudad</t>
  </si>
  <si>
    <t>Incluido en el RST</t>
  </si>
  <si>
    <t>Absorbido dentro de la tarifa unificada; no suma aparte al total</t>
  </si>
  <si>
    <t>IVA (informativo — no es un costo real de la empresa)</t>
  </si>
  <si>
    <t>Facturacion a talleres</t>
  </si>
  <si>
    <t>Se recauda del cliente y se traslada a la DIAN — pass-through, NO reduce la utilidad de Costo360 ni suma al total de impuestos a cargo</t>
  </si>
  <si>
    <t>Retencion en la fuente</t>
  </si>
  <si>
    <t>Clientes/DIAN</t>
  </si>
  <si>
    <t>Exento: las sociedades bajo RST no sufren retefuente de sus clientes</t>
  </si>
  <si>
    <t>Gravamen a los Movimientos Financieros (GMF, 4x1000)</t>
  </si>
  <si>
    <t>Bancos/DIAN</t>
  </si>
  <si>
    <t>Pagos a proveedores (COGS+OpEx)</t>
  </si>
  <si>
    <t>Sobre transferencias para pagar servidores, APIs, honorarios</t>
  </si>
  <si>
    <t>Renovacion registro mercantil</t>
  </si>
  <si>
    <t>Camara de Comercio</t>
  </si>
  <si>
    <t>Mensualizado</t>
  </si>
  <si>
    <t>Cuota mensualizada de la renovacion anual</t>
  </si>
  <si>
    <t>TOTAL CARGA TRIBUTARIA DIRECTA (excluye IVA pass-through)</t>
  </si>
  <si>
    <t>Este es el numero que si resta a la utilidad</t>
  </si>
  <si>
    <t>06. RESERVAS DE CONTINGENCIA — Metodologia PMI (Riesgos Cuantificables del Negocio)</t>
  </si>
  <si>
    <t>Reserva de contingencia sobre riesgos identificables y cuantificables propios de la operacion de Costo360.</t>
  </si>
  <si>
    <t>Codigo</t>
  </si>
  <si>
    <t>Concepto</t>
  </si>
  <si>
    <t>% / Factor</t>
  </si>
  <si>
    <t>Base de calculo</t>
  </si>
  <si>
    <t>Monto mensual (COP)</t>
  </si>
  <si>
    <t>Objetivo</t>
  </si>
  <si>
    <t>RES-01</t>
  </si>
  <si>
    <t>Colchon de volatilidad en consumo de IA</t>
  </si>
  <si>
    <t>Consumo de IA producto en planes Pro+Enterprise</t>
  </si>
  <si>
    <t>Amortigua picos de uso imprevisto</t>
  </si>
  <si>
    <t>RES-02</t>
  </si>
  <si>
    <t>Contingencia de escalamiento cloud/servidores</t>
  </si>
  <si>
    <t>OpEx total</t>
  </si>
  <si>
    <t>Fondo para escalar Azure/Vercel ante trafico extraordinario</t>
  </si>
  <si>
    <t>RES-03</t>
  </si>
  <si>
    <t>Provision de cartera morosa / churn</t>
  </si>
  <si>
    <t>Reserva por mora de pago o cancelaciones</t>
  </si>
  <si>
    <t>RES-04</t>
  </si>
  <si>
    <t>Fondo discrecional de soporte</t>
  </si>
  <si>
    <t>Caja menor para imprevistos operativos</t>
  </si>
  <si>
    <t>RESERVAS</t>
  </si>
  <si>
    <t>07. ESTADO DE RESULTADOS (P&amp;G) — Escenario 108 Talleres Activos</t>
  </si>
  <si>
    <t>Todas las cifras enlazadas por formula a las hojas 02, 04, 05 y 06. Ninguna cifra fue pegada a mano.</t>
  </si>
  <si>
    <t>COP</t>
  </si>
  <si>
    <t>% sobre Ingresos</t>
  </si>
  <si>
    <t>1.0  Ingresos Operacionales Brutos</t>
  </si>
  <si>
    <t>2.0  (-) Costos Directos del Servicio — COGS</t>
  </si>
  <si>
    <t>3.0  (=) Utilidad Bruta / Margen Bruto</t>
  </si>
  <si>
    <t>4.0  (-) Costos Indirectos — OpEx</t>
  </si>
  <si>
    <t>5.0  (=) EBITDA Operativo Mensual</t>
  </si>
  <si>
    <t>6.0  (-) Reservas de Contingencia</t>
  </si>
  <si>
    <t>7.0  (-) Impuestos y Tasas directas (excl. IVA pass-through)</t>
  </si>
  <si>
    <t>8.0  (=) UTILIDAD NETA MENSUAL — Margen de Beneficio Final</t>
  </si>
  <si>
    <t>08. ACTUALIZACION OPERATIVA — Septiembre 2026</t>
  </si>
  <si>
    <t>El modelo financiero oficial (agosto 2026) no incluye 2 funciones reales lanzadas en septiembre 2026: Render de cocina con IA (OpenAI) y Voz de Cost (ElevenLabs). Esta hoja muestra el impacto real de mantenerlas operando, sin alterar el modelo oficial de las hojas anteriores.</t>
  </si>
  <si>
    <t>Funcion nueva (no incluida en el modelo oficial)</t>
  </si>
  <si>
    <t>Costo unitario</t>
  </si>
  <si>
    <t>Aplica a</t>
  </si>
  <si>
    <t>Cantidad/mes</t>
  </si>
  <si>
    <t>Costo total mensual (COP)</t>
  </si>
  <si>
    <t>Render de cocina con IA (OpenAI, gpt-image-2.5-sunburst)</t>
  </si>
  <si>
    <t>Talleres Pro + Enterprise (cotizan proyectos de cocina con clientes reales — supuesto explicito)</t>
  </si>
  <si>
    <t>Voz de Cost (ElevenLabs)</t>
  </si>
  <si>
    <t>Cuenta actual en plan gratuito, 10.000 creditos/mes (~10 min de audio)</t>
  </si>
  <si>
    <t>Nota Voz de Cost: si el uso supera el plan gratuito, el siguiente escalon (Starter, 30.000 creditos) cuesta 6 USD/mes ~ 18.289 COP/mes — reevaluar cuando haya datos reales de consumo.</t>
  </si>
  <si>
    <t>Costo adicional total no incluido en el modelo oficial (COP/mes)</t>
  </si>
  <si>
    <t>Estado de Resultados — Modelo Oficial vs. Modelo Actualizado (con funciones de septiembre)</t>
  </si>
  <si>
    <t>Modelo Oficial (COP)</t>
  </si>
  <si>
    <t>Modelo Actualizado (COP)</t>
  </si>
  <si>
    <t>Diferencia vs. Oficial (COP)</t>
  </si>
  <si>
    <t xml:space="preserve">   Auxiliar: GMF (4x1000) recalculado sobre COGS+OpEx actualizado</t>
  </si>
  <si>
    <t>8.0  (=) UTILIDAD NETA MENSUAL</t>
  </si>
  <si>
    <t>Diferencia vs. modelo oficial (COP/mes)</t>
  </si>
  <si>
    <t>Hallazgo real a vigilar: compresion de margen en el plan Pro</t>
  </si>
  <si>
    <t>Margen bruto unitario oficial</t>
  </si>
  <si>
    <t>Margen bruto unitario con render de cocina</t>
  </si>
  <si>
    <t>Variacion (pp)</t>
  </si>
  <si>
    <t>El render de cocina, aunque valioso comercialmente, comprime el margen bruto unitario del plan Pro de ~71,6% a ~55,3%. Se recomienda vigilar este indicador y evaluar un cobro adicional o un tope de uso por taller.</t>
  </si>
  <si>
    <t>Fuente: backend/services/render_service.py (tope $20 USD/taller/mes), backend/.env (TRM $3.048,12 COP/USD), plan gratuito ElevenLabs.</t>
  </si>
  <si>
    <t>SIMULACION DE CONSUMO EXAGERADO POR API — EMPRESA GRANDE (ENTERPRISE, 10 USUARIOS)</t>
  </si>
  <si>
    <t>Techo de seguridad de consumo real, no el gasto esperado — para dimensionar colchon de creditos y evitar que un cliente grande se quede sin servicio a fin de mes.</t>
  </si>
  <si>
    <t>Tabla 1 — Agente conversacional "Cost" (Claude Sonnet 5 + Fable 100% + Gemini 3.1 Pro 100%)</t>
  </si>
  <si>
    <t>Conversaciones/mes/usuario</t>
  </si>
  <si>
    <t>Tokens entrada/salida por conversacion</t>
  </si>
  <si>
    <t>Costo por usuario/mes (COP)</t>
  </si>
  <si>
    <t>Costo empresa completa (10 usuarios)</t>
  </si>
  <si>
    <t>Normal (modelo oficial, docs/PLAN_COSTOS_COMPLETO_COSTO360.md)</t>
  </si>
  <si>
    <t>24.500 / 1.500</t>
  </si>
  <si>
    <t>Exagerado (8 conversaciones/dia habil x 22 dias habiles/mes; proyectos mas complejos, ~2x turnos)</t>
  </si>
  <si>
    <t>~49.000 / 3.000</t>
  </si>
  <si>
    <t>Derivacion del factor de intensidad (exagerado vs. normal) — celdas auditables</t>
  </si>
  <si>
    <t>Factor</t>
  </si>
  <si>
    <t>Valor</t>
  </si>
  <si>
    <t>Frecuencia (conversaciones exageradas / conversaciones normal)</t>
  </si>
  <si>
    <t>Complejidad (turnos y tokens ~2x mas largos por proyecto complejo — supuesto)</t>
  </si>
  <si>
    <t>Factor total de intensidad (frecuencia x complejidad)</t>
  </si>
  <si>
    <t>Fuente: docs/PLAN_COSTOS_COMPLETO_COSTO360.md (consumo normal) y estimacion propia del fundador para el escenario exagerado (2026-09-16).</t>
  </si>
  <si>
    <t>Tabla 2 — Render de cocina con IA (OpenAI gpt-image-2.5-sunburst)</t>
  </si>
  <si>
    <t>Renders/mes</t>
  </si>
  <si>
    <t>Costo (USD)</t>
  </si>
  <si>
    <t>Costo (COP, TRM 3.048,12)</t>
  </si>
  <si>
    <t>Dentro del tope actual</t>
  </si>
  <si>
    <t>Tope actual configurado (backend/services/render_service.py)</t>
  </si>
  <si>
    <t>— es el techo duro</t>
  </si>
  <si>
    <t>Exagerado (60 cotizaciones/mes x 3 renders c/u)</t>
  </si>
  <si>
    <t>A diferencia de las otras 2 APIs, esta ya tiene un tope aislado POR EMPRESA en el propio codigo — un cliente grande nunca puede afectar a otros clientes. No requiere ajuste.</t>
  </si>
  <si>
    <t>Fuente: backend/services/render_service.py (tope de $20 USD/taller/mes) y Hoja 08 (TRM 3.048,12 COP/USD).</t>
  </si>
  <si>
    <t>Derivacion del consumo exagerado — Voz de Cost (celdas auditables)</t>
  </si>
  <si>
    <t>Variable</t>
  </si>
  <si>
    <t>Interacciones/dia habil (hablar + escuchar)</t>
  </si>
  <si>
    <t>Dias habiles/mes</t>
  </si>
  <si>
    <t>Segundos de audio por interaccion</t>
  </si>
  <si>
    <t>Creditos del plan actual (gratuito)</t>
  </si>
  <si>
    <t>Minutos de audio incluidos en el plan actual</t>
  </si>
  <si>
    <t>Interacciones/mes/usuario</t>
  </si>
  <si>
    <t>Segundos de audio/mes/usuario</t>
  </si>
  <si>
    <t>Creditos por segundo de audio (plan actual)</t>
  </si>
  <si>
    <t>Creditos exagerados/usuario/mes</t>
  </si>
  <si>
    <t>Tabla 3 — Voz de Cost (ElevenLabs: hablar + escuchar) — EL HALLAZGO CRITICO</t>
  </si>
  <si>
    <t>Plan actual</t>
  </si>
  <si>
    <t>10.000 creditos/mes (~10 minutos de audio)</t>
  </si>
  <si>
    <t>Alcance del plan actual</t>
  </si>
  <si>
    <t>Una sola cuenta/API key COMPARTIDA por TODOS los clientes de Costo360 — no hay aislamiento por empresa como en OpenAI</t>
  </si>
  <si>
    <t>Consumo exagerado por usuario (5 interacciones/dia habil x 22 dias; ~35 seg de audio por interaccion)</t>
  </si>
  <si>
    <t>Consumo exagerado, 1 empresa grande (10 usuarios)</t>
  </si>
  <si>
    <t>Veces que excede el plan actual</t>
  </si>
  <si>
    <t>Tiempo hasta agotar el credito de TODOS los clientes de Costo360 si una sola empresa grande usa la voz intensivamente (dias habiles)</t>
  </si>
  <si>
    <t>Plan ElevenLabs "Starter" (30.000 creditos, $6 USD/mes) — cobertura de la necesidad exagerada</t>
  </si>
  <si>
    <t>Plan ElevenLabs "Creator" (121.000 creditos, $22 USD/mes) — cobertura de la necesidad exagerada</t>
  </si>
  <si>
    <t>RECOMENDACION: antes de vender Costo360 a empresas grandes, Voz de Cost necesita (a) un tope de consumo por empresa igual al que ya tiene el render de cocina, y/o (b) migrar a un plan de ElevenLabs por volumen/uso, para que un solo cliente grande no deje sin voz a los demas clientes de la plataforma. Esto es un hallazgo operativo, no una funcionalidad rota hoy — el riesgo aparece recien cuando haya clientes grandes reales usando la voz activamente.</t>
  </si>
  <si>
    <t>Fuente: plan gratuito ElevenLabs (10.000 creditos/mes) y estimacion propia del fundador para el escenario exagerado (2026-09-16).</t>
  </si>
  <si>
    <t>Resumen comparativo — Techo recomendado por API (empresa grande, 10 usuarios)</t>
  </si>
  <si>
    <t>API</t>
  </si>
  <si>
    <t>Techo recomendado / mes por empresa grande</t>
  </si>
  <si>
    <t>Requiere accion antes de vender a empresas grandes</t>
  </si>
  <si>
    <t>Cost (Claude + Fable + Gemini)</t>
  </si>
  <si>
    <t>No urgente — solo presupuestar el techo mas alto</t>
  </si>
  <si>
    <t>Render de cocina (OpenAI)</t>
  </si>
  <si>
    <t>No — ya esta bien disenado</t>
  </si>
  <si>
    <t>Si — riesgo real de afectar a otros clientes</t>
  </si>
  <si>
    <t>Fuente: docs/PLAN_COSTOS_COMPLETO_COSTO360.md, backend/services/render_service.py, plan gratuito ElevenLabs. Elaborado 2026-09-16.</t>
  </si>
  <si>
    <t>GLOSARIO — TERMINOS DEL DESGLOSE DE COSTOS DE COSTO360</t>
  </si>
  <si>
    <t>Explicacion en lenguaje simple de cada termino tecnico, financiero y tributario usado en este libro</t>
  </si>
  <si>
    <t>Termino</t>
  </si>
  <si>
    <t>Explicacion</t>
  </si>
  <si>
    <t>A. La estructura basica (de donde sale la plata)</t>
  </si>
  <si>
    <t>Lo que le cuesta a Costo360, exactamente, atender a UN taller mas. Si manana se suma un cliente nuevo, estos son los unicos costos que suben automaticamente con el (consumo de IA, comision de la pasarela de pago, infraestructura que usa ese cliente). Es "costo variable": crece con la cantidad de clientes.</t>
  </si>
  <si>
    <t>Costos Indirectos / Gastos Generales (OpEx)</t>
  </si>
  <si>
    <t>Lo que Costo360 paga para existir como empresa, sin importar si tiene 1 cliente o 100 (abogado, contador, herramientas del fundador, marketing). Es "costo fijo": no cambia mes a mes con la cantidad de talleres.</t>
  </si>
  <si>
    <t>Margen Bruto</t>
  </si>
  <si>
    <t>Ingresos menos Costos Directos. Responde: "de cada peso que factura un taller, cuanto le queda a Costo360 despues de servirlo, antes de pagar gastos administrativos". Se muestra en pesos y en porcentaje.</t>
  </si>
  <si>
    <t>Margen Bruto menos Gastos Generales (OpEx). Es la ganancia operativa pura del negocio, antes de reservas e impuestos.</t>
  </si>
  <si>
    <t>Utilidad Neta / Margen de Beneficio</t>
  </si>
  <si>
    <t>Lo que realmente queda al final, despues de restarle al EBITDA las reservas de contingencia y los impuestos. Es la plata real disponible para el fundador o para reinvertir.</t>
  </si>
  <si>
    <t>B. Precios y cantidades (la receta de cada costo)</t>
  </si>
  <si>
    <t>Cuanto cuesta UNA unidad de algo (una conversacion con Cost, un render, un usuario). Multiplicado por la Cantidad (cuantas unidades se consumen al mes) da el costo total de ese item.</t>
  </si>
  <si>
    <t>PVP (Precio de Venta al Publico)</t>
  </si>
  <si>
    <t>Lo que le cobra Costo360 al taller por su suscripcion mensual.</t>
  </si>
  <si>
    <t>Prorrateo</t>
  </si>
  <si>
    <t>Repartir un costo fijo (ej. el salario del fundador, o el servidor compartido) entre los distintos planes de forma proporcional a cuanto usa cada uno realmente, no por igual.</t>
  </si>
  <si>
    <t>TRM (Tasa Representativa del Mercado)</t>
  </si>
  <si>
    <t>El tipo de cambio oficial peso colombiano/dolar del Banco de la Republica. Se usa como referencia fija ($3.048,12 COP/USD) para convertir a pesos los costos de APIs cobrados en dolares.</t>
  </si>
  <si>
    <t>C. Impuestos y tasas (lo que se le paga al Estado)</t>
  </si>
  <si>
    <t>RST (Regimen Simple de Tributacion)</t>
  </si>
  <si>
    <t>Un regimen tributario colombiano para empresas pequenas/medianas: en vez de pagar por separado Renta + Industria y Comercio + otros aportes, se paga UN solo porcentaje sobre los ingresos brutos (8,3% en Costo360).</t>
  </si>
  <si>
    <t>ICA (Industria y Comercio)</t>
  </si>
  <si>
    <t>Impuesto municipal/distrital sobre los ingresos de una empresa. Bajo el RST queda absorbido dentro del 8,3% de arriba, no se paga aparte.</t>
  </si>
  <si>
    <t>IVA (19%)</t>
  </si>
  <si>
    <t>El impuesto que se le cobra al cliente final sobre la venta. No es una ganancia ni un costo real de Costo360 — se recauda del taller y se le entrega integro a la DIAN. Por eso se muestra aparte, como "pass-through".</t>
  </si>
  <si>
    <t>Retencion en la Fuente</t>
  </si>
  <si>
    <t>Un anticipo de impuestos que normalmente un cliente le descuenta a su proveedor antes de pagarle. Las empresas bajo RST estan exentas de esto.</t>
  </si>
  <si>
    <t>GMF / 4x1000</t>
  </si>
  <si>
    <t>Impuesto del 0,4% que cobran los bancos sobre movimientos de dinero (ej. cuando Costo360 le paga a un proveedor).</t>
  </si>
  <si>
    <t>D. Reservas y riesgo (el colchon)</t>
  </si>
  <si>
    <t>Reserva de Contingencia</t>
  </si>
  <si>
    <t>Plata que se aparta cada mes, de forma preventiva, para riesgos que se pueden anticipar aunque no se sepa cuando van a pasar. Es dinero que se guarda "por si acaso", no un gasto garantizado.</t>
  </si>
  <si>
    <t>Colchon / Techo de seguridad</t>
  </si>
  <si>
    <t>Un margen extra sumado a un calculo esperado para no quedarse corto si la realidad es peor de lo previsto.</t>
  </si>
  <si>
    <t>Cartera Morosa / Churn</t>
  </si>
  <si>
    <t>"Morosa" = clientes que se atrasan en pagar. "Churn" = clientes que cancelan la suscripcion. Se reserva un % de los ingresos como colchon ante esto.</t>
  </si>
  <si>
    <t>E. Terminos tecnicos de las APIs</t>
  </si>
  <si>
    <t>Token</t>
  </si>
  <si>
    <t>La unidad minima en la que un modelo de lenguaje (Claude, Gemini) lee y escribe texto, aproximadamente ¾ de una palabra en espanol. Se cobra por millon de tokens, separando entrada (lo que el usuario escribe) de salida (lo que el modelo responde).</t>
  </si>
  <si>
    <t>Credito (ElevenLabs)</t>
  </si>
  <si>
    <t>La unidad de consumo de la voz de Cost — aproximadamente 1.000 creditos equivalen a 1 minuto de audio generado o transcrito.</t>
  </si>
  <si>
    <t>Tope (de consumo)</t>
  </si>
  <si>
    <t>Un limite maximo de gasto configurado directamente en el sistema. A diferencia de una reserva (plata apartada preventivamente), el tope es un freno automatico real: al llegarse, la funcion deja de funcionar hasta el mes siguiente.</t>
  </si>
  <si>
    <t>Consumo "Normal" vs. "Exagerado"</t>
  </si>
  <si>
    <t>"Normal" es el uso esperado de un cliente promedio, para presupuestar el gasto real del dia a dia. "Exagerado" es una simulacion deliberada del peor caso realista, usada solo para dimensionar el colchon necesario, nunca como el gasto que se espera de verdad.</t>
  </si>
  <si>
    <t>Fuente: elaboracion propia a partir de docs/PLAN_COSTOS_COMPLETO_COSTO360.md y la terminologia usada en las Hojas 02 a 09 de este libro.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</si>
</sst>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 #,##0.00;[Red]\-&quot;$&quot;\ #,##0.00"/>
    <numFmt numFmtId="164" formatCode="#,##0;\(#,##0\);&quot;-&quot;"/>
    <numFmt numFmtId="165" formatCode="0.0%;\(0.0%\);&quot;-&quot;"/>
    <numFmt numFmtId="166" formatCode="0.0&quot;x&quot;"/>
    <numFmt numFmtId="167" formatCode="\$#,##0.00"/>
    <numFmt numFmtId="168" formatCode="0.000"/>
    <numFmt numFmtId="169" formatCode="0.0"/>
    <numFmt numFmtId="170" formatCode="#,##0&quot; COP&quot;"/>
    <numFmt numFmtId="171" formatCode="#,##0&quot; COP (ya configurado)&quot;"/>
    <numFmt numFmtId="172" formatCode="#,##0&quot; creditos/mes&quot;"/>
  </numFmts>
  <fonts count="55" x14ac:knownFonts="1">
    <font>
      <sz val="11"/>
      <color theme="1"/>
      <name val="Calibri"/>
      <family val="2"/>
      <scheme val="minor"/>
    </font>
    <font>
      <b/>
      <sz val="30"/>
      <color rgb="FFD4AF37"/>
      <name val="Calibri"/>
      <family val="2"/>
    </font>
    <font>
      <sz val="14"/>
      <color rgb="FFFFFFFF"/>
      <name val="Calibri"/>
      <family val="2"/>
    </font>
    <font>
      <b/>
      <sz val="13"/>
      <color rgb="FFF0C447"/>
      <name val="Calibri"/>
      <family val="2"/>
    </font>
    <font>
      <i/>
      <sz val="10"/>
      <color rgb="FFF5E8D2"/>
      <name val="Calibri"/>
      <family val="2"/>
    </font>
    <font>
      <b/>
      <sz val="15"/>
      <color rgb="FF15612E"/>
      <name val="Calibri"/>
      <family val="2"/>
    </font>
    <font>
      <i/>
      <sz val="9"/>
      <color rgb="FF6B6B6B"/>
      <name val="Calibri"/>
      <family val="2"/>
    </font>
    <font>
      <b/>
      <sz val="10"/>
      <color rgb="FFFFFFFF"/>
      <name val="Calibri"/>
      <family val="2"/>
    </font>
    <font>
      <sz val="10"/>
      <color rgb="FF212121"/>
      <name val="Calibri"/>
      <family val="2"/>
    </font>
    <font>
      <sz val="10"/>
      <color rgb="FF0000FF"/>
      <name val="Calibri"/>
      <family val="2"/>
    </font>
    <font>
      <sz val="10"/>
      <color rgb="FF1A7A3A"/>
      <name val="Calibri"/>
      <family val="2"/>
    </font>
    <font>
      <b/>
      <sz val="11"/>
      <color rgb="FF212121"/>
      <name val="Calibri"/>
      <family val="2"/>
    </font>
    <font>
      <b/>
      <sz val="11"/>
      <color rgb="FF15612E"/>
      <name val="Calibri"/>
      <family val="2"/>
    </font>
    <font>
      <b/>
      <sz val="13"/>
      <color rgb="FF15612E"/>
      <name val="Calibri"/>
      <family val="2"/>
    </font>
    <font>
      <b/>
      <sz val="14"/>
      <color rgb="FF15612E"/>
      <name val="Calibri"/>
      <family val="2"/>
    </font>
    <font>
      <i/>
      <sz val="9"/>
      <color rgb="FF212121"/>
      <name val="Calibri"/>
      <family val="2"/>
    </font>
    <font>
      <i/>
      <sz val="9"/>
      <color rgb="FF15612E"/>
      <name val="Calibri"/>
      <family val="2"/>
    </font>
    <font>
      <b/>
      <sz val="10"/>
      <color rgb="FF6E5410"/>
      <name val="Calibri"/>
      <family val="2"/>
    </font>
    <font>
      <sz val="11"/>
      <color rgb="FF212121"/>
      <name val="Calibri"/>
      <family val="2"/>
    </font>
    <font>
      <sz val="11"/>
      <color rgb="FF1A7A3A"/>
      <name val="Calibri"/>
      <family val="2"/>
    </font>
    <font>
      <b/>
      <sz val="11"/>
      <color rgb="FF6E5410"/>
      <name val="Calibri"/>
      <family val="2"/>
    </font>
    <font>
      <b/>
      <sz val="12"/>
      <color rgb="FF15612E"/>
      <name val="Calibri"/>
      <family val="2"/>
    </font>
    <font>
      <b/>
      <sz val="10"/>
      <color rgb="FF212121"/>
      <name val="Calibri"/>
      <family val="2"/>
    </font>
    <font>
      <b/>
      <sz val="11"/>
      <color rgb="FFB23B3B"/>
      <name val="Calibri"/>
      <family val="2"/>
    </font>
    <font>
      <b/>
      <sz val="12"/>
      <color rgb="FFB23B3B"/>
      <name val="Calibri"/>
      <family val="2"/>
    </font>
    <font>
      <b/>
      <sz val="18"/>
      <color rgb="FF15612E"/>
      <name val="Calibri"/>
      <family val="2"/>
    </font>
    <font>
      <b/>
      <sz val="9"/>
      <color rgb="FF6E5410"/>
      <name val="Calibri"/>
      <family val="2"/>
    </font>
    <font>
      <b/>
      <sz val="15"/>
      <color rgb="FF6E5410"/>
      <name val="Calibri"/>
      <family val="2"/>
    </font>
    <font>
      <b/>
      <sz val="14"/>
      <color rgb="FF15612E"/>
      <name val="Calibri"/>
      <family val="2"/>
    </font>
    <font>
      <i/>
      <sz val="9"/>
      <color rgb="FF6B6B6B"/>
      <name val="Calibri"/>
      <family val="2"/>
    </font>
    <font>
      <b/>
      <sz val="12"/>
      <color rgb="FF15612E"/>
      <name val="Calibri"/>
      <family val="2"/>
    </font>
    <font>
      <b/>
      <sz val="10"/>
      <color rgb="FFFFFFFF"/>
      <name val="Calibri"/>
      <family val="2"/>
    </font>
    <font>
      <sz val="10"/>
      <color rgb="FF0000FF"/>
      <name val="Calibri"/>
      <family val="2"/>
    </font>
    <font>
      <sz val="9.5"/>
      <color rgb="FF212121"/>
      <name val="Calibri"/>
      <family val="2"/>
    </font>
    <font>
      <sz val="10"/>
      <color rgb="FF212121"/>
      <name val="Calibri"/>
      <family val="2"/>
    </font>
    <font>
      <b/>
      <sz val="10.5"/>
      <color rgb="FF6E5410"/>
      <name val="Calibri"/>
      <family val="2"/>
    </font>
    <font>
      <b/>
      <sz val="9.5"/>
      <color rgb="FF212121"/>
      <name val="Calibri"/>
      <family val="2"/>
    </font>
    <font>
      <b/>
      <sz val="10"/>
      <color rgb="FF15612E"/>
      <name val="Calibri"/>
      <family val="2"/>
    </font>
    <font>
      <sz val="10"/>
      <color rgb="FF1A7A3A"/>
      <name val="Calibri"/>
      <family val="2"/>
    </font>
    <font>
      <i/>
      <sz val="9.5"/>
      <color rgb="FF212121"/>
      <name val="Calibri"/>
      <family val="2"/>
    </font>
    <font>
      <i/>
      <sz val="9.5"/>
      <color rgb="FF1A7A3A"/>
      <name val="Calibri"/>
      <family val="2"/>
    </font>
    <font>
      <b/>
      <sz val="10"/>
      <color rgb="FF1A7A3A"/>
      <name val="Calibri"/>
      <family val="2"/>
    </font>
    <font>
      <b/>
      <sz val="12"/>
      <color rgb="FFB23B3B"/>
      <name val="Calibri"/>
      <family val="2"/>
    </font>
    <font>
      <b/>
      <sz val="10"/>
      <color rgb="FFB23B3B"/>
      <name val="Calibri"/>
      <family val="2"/>
    </font>
    <font>
      <sz val="10"/>
      <color rgb="FFB23B3B"/>
      <name val="Calibri"/>
      <family val="2"/>
    </font>
    <font>
      <b/>
      <sz val="10"/>
      <color rgb="FF212121"/>
      <name val="Calibri"/>
      <family val="2"/>
    </font>
    <font>
      <i/>
      <sz val="10"/>
      <color rgb="FF212121"/>
      <name val="Calibri"/>
      <family val="2"/>
    </font>
    <font>
      <sz val="11"/>
      <color theme="1"/>
      <name val="Calibri"/>
      <family val="2"/>
      <scheme val="minor"/>
    </font>
    <font>
      <b/>
      <sz val="15"/>
      <color rgb="FF15612E"/>
      <name val="Calibri"/>
    </font>
    <font>
      <i/>
      <sz val="10"/>
      <color rgb="FF6B6B6B"/>
      <name val="Calibri"/>
    </font>
    <font>
      <b/>
      <sz val="11"/>
      <color rgb="FFFFFFFF"/>
      <name val="Calibri"/>
    </font>
    <font>
      <b/>
      <sz val="11"/>
      <color rgb="FF212121"/>
      <name val="Calibri"/>
    </font>
    <font>
      <b/>
      <sz val="10.5"/>
      <color rgb="FF212121"/>
      <name val="Calibri"/>
    </font>
    <font>
      <sz val="10.5"/>
      <color rgb="FF212121"/>
      <name val="Calibri"/>
    </font>
    <font>
      <i/>
      <sz val="9"/>
      <color rgb="FF6B6B6B"/>
      <name val="Calibri"/>
    </font>
  </fonts>
  <fills count="21">
    <fill>
      <patternFill patternType="none"/>
    </fill>
    <fill>
      <patternFill patternType="gray125"/>
    </fill>
    <fill>
      <patternFill patternType="solid">
        <fgColor rgb="FF00472B"/>
      </patternFill>
    </fill>
    <fill>
      <patternFill patternType="solid">
        <fgColor rgb="FF15612E"/>
      </patternFill>
    </fill>
    <fill>
      <patternFill patternType="solid">
        <fgColor rgb="FFFFFFFF"/>
      </patternFill>
    </fill>
    <fill>
      <patternFill patternType="solid">
        <fgColor rgb="FFFBF6EC"/>
      </patternFill>
    </fill>
    <fill>
      <patternFill patternType="solid">
        <fgColor rgb="FFF0C447"/>
      </patternFill>
    </fill>
    <fill>
      <patternFill patternType="solid">
        <fgColor rgb="FFEFEFEF"/>
      </patternFill>
    </fill>
    <fill>
      <patternFill patternType="solid">
        <fgColor rgb="FFF6E5E5"/>
      </patternFill>
    </fill>
    <fill>
      <patternFill patternType="solid">
        <fgColor rgb="FFE7F1E9"/>
      </patternFill>
    </fill>
    <fill>
      <patternFill patternType="solid">
        <fgColor rgb="FFF5E8D2"/>
      </patternFill>
    </fill>
    <fill>
      <patternFill patternType="solid">
        <fgColor rgb="FF15612E"/>
      </patternFill>
    </fill>
    <fill>
      <patternFill patternType="solid">
        <fgColor rgb="FFFBF6EC"/>
      </patternFill>
    </fill>
    <fill>
      <patternFill patternType="solid">
        <fgColor rgb="FFFFFFFF"/>
      </patternFill>
    </fill>
    <fill>
      <patternFill patternType="solid">
        <fgColor rgb="FFF0C447"/>
      </patternFill>
    </fill>
    <fill>
      <patternFill patternType="solid">
        <fgColor rgb="FFEAF3EC"/>
      </patternFill>
    </fill>
    <fill>
      <patternFill patternType="solid">
        <fgColor rgb="FFF6E5E5"/>
      </patternFill>
    </fill>
    <fill>
      <patternFill patternType="solid">
        <fgColor rgb="FF15612E"/>
      </patternFill>
    </fill>
    <fill>
      <patternFill patternType="solid">
        <fgColor rgb="FFF0C447"/>
      </patternFill>
    </fill>
    <fill>
      <patternFill patternType="solid">
        <fgColor rgb="FFFBF6EC"/>
      </patternFill>
    </fill>
    <fill>
      <patternFill patternType="solid">
        <fgColor rgb="FFFFFFFF"/>
      </patternFill>
    </fill>
  </fills>
  <borders count="18">
    <border>
      <left/>
      <right/>
      <top/>
      <bottom/>
      <diagonal/>
    </border>
    <border>
      <left style="thin">
        <color rgb="FFC9C9C9"/>
      </left>
      <right style="thin">
        <color rgb="FFC9C9C9"/>
      </right>
      <top style="thin">
        <color rgb="FFC9C9C9"/>
      </top>
      <bottom style="thin">
        <color rgb="FFC9C9C9"/>
      </bottom>
      <diagonal/>
    </border>
    <border>
      <left style="thin">
        <color rgb="FFC9C9C9"/>
      </left>
      <right style="thin">
        <color rgb="FFC9C9C9"/>
      </right>
      <top style="thick">
        <color rgb="FFD4AF37"/>
      </top>
      <bottom style="thin">
        <color rgb="FFC9C9C9"/>
      </bottom>
      <diagonal/>
    </border>
    <border>
      <left style="thick">
        <color rgb="FFD4AF37"/>
      </left>
      <right style="medium">
        <color rgb="FFD4AF37"/>
      </right>
      <top style="thick">
        <color rgb="FFD4AF37"/>
      </top>
      <bottom style="medium">
        <color rgb="FFD4AF37"/>
      </bottom>
      <diagonal/>
    </border>
    <border>
      <left style="thick">
        <color rgb="FFD4AF37"/>
      </left>
      <right style="medium">
        <color rgb="FFD4AF37"/>
      </right>
      <top style="medium">
        <color rgb="FFD4AF37"/>
      </top>
      <bottom style="medium">
        <color rgb="FFD4AF37"/>
      </bottom>
      <diagonal/>
    </border>
    <border>
      <left/>
      <right style="medium">
        <color rgb="FFD4AF37"/>
      </right>
      <top style="thick">
        <color rgb="FFD4AF37"/>
      </top>
      <bottom style="medium">
        <color rgb="FFD4AF37"/>
      </bottom>
      <diagonal/>
    </border>
    <border>
      <left/>
      <right style="medium">
        <color rgb="FFD4AF37"/>
      </right>
      <top style="medium">
        <color rgb="FFD4AF37"/>
      </top>
      <bottom/>
      <diagonal/>
    </border>
    <border>
      <left style="thick">
        <color rgb="FFD4AF37"/>
      </left>
      <right/>
      <top/>
      <bottom style="medium">
        <color rgb="FFD4AF37"/>
      </bottom>
      <diagonal/>
    </border>
    <border>
      <left/>
      <right style="medium">
        <color rgb="FFD4AF37"/>
      </right>
      <top/>
      <bottom style="medium">
        <color rgb="FFD4AF37"/>
      </bottom>
      <diagonal/>
    </border>
    <border>
      <left style="thin">
        <color rgb="FFC9C9C9"/>
      </left>
      <right style="thin">
        <color rgb="FFC9C9C9"/>
      </right>
      <top style="thin">
        <color rgb="FFC9C9C9"/>
      </top>
      <bottom style="thin">
        <color rgb="FFC9C9C9"/>
      </bottom>
      <diagonal/>
    </border>
    <border>
      <left style="thin">
        <color rgb="FFC9C9C9"/>
      </left>
      <right style="thin">
        <color rgb="FFC9C9C9"/>
      </right>
      <top style="thick">
        <color rgb="FFD4AF37"/>
      </top>
      <bottom style="thin">
        <color rgb="FFC9C9C9"/>
      </bottom>
      <diagonal/>
    </border>
    <border>
      <left style="thick">
        <color rgb="FFB23B3B"/>
      </left>
      <right style="thick">
        <color rgb="FFB23B3B"/>
      </right>
      <top style="thick">
        <color rgb="FFB23B3B"/>
      </top>
      <bottom style="thick">
        <color rgb="FFB23B3B"/>
      </bottom>
      <diagonal/>
    </border>
    <border>
      <left/>
      <right/>
      <top style="thick">
        <color rgb="FFB23B3B"/>
      </top>
      <bottom/>
      <diagonal/>
    </border>
    <border>
      <left/>
      <right style="thick">
        <color rgb="FFB23B3B"/>
      </right>
      <top style="thick">
        <color rgb="FFB23B3B"/>
      </top>
      <bottom/>
      <diagonal/>
    </border>
    <border>
      <left style="thick">
        <color rgb="FFB23B3B"/>
      </left>
      <right/>
      <top/>
      <bottom style="thick">
        <color rgb="FFB23B3B"/>
      </bottom>
      <diagonal/>
    </border>
    <border>
      <left/>
      <right/>
      <top/>
      <bottom style="thick">
        <color rgb="FFB23B3B"/>
      </bottom>
      <diagonal/>
    </border>
    <border>
      <left/>
      <right style="thick">
        <color rgb="FFB23B3B"/>
      </right>
      <top/>
      <bottom style="thick">
        <color rgb="FFB23B3B"/>
      </bottom>
      <diagonal/>
    </border>
    <border>
      <left style="thin">
        <color rgb="FFC9C9C9"/>
      </left>
      <right style="thin">
        <color rgb="FFC9C9C9"/>
      </right>
      <top style="thin">
        <color rgb="FFC9C9C9"/>
      </top>
      <bottom style="thin">
        <color rgb="FFC9C9C9"/>
      </bottom>
      <diagonal/>
    </border>
  </borders>
  <cellStyleXfs count="2">
    <xf numFmtId="0" fontId="0" fillId="0" borderId="0"/>
    <xf numFmtId="9" fontId="47" fillId="0" borderId="0"/>
  </cellStyleXfs>
  <cellXfs count="148">
    <xf numFmtId="0" fontId="0" fillId="0" borderId="0" xfId="0"/>
    <xf numFmtId="0" fontId="0" fillId="2" borderId="0" xfId="0" applyFill="1"/>
    <xf numFmtId="0" fontId="6" fillId="0" borderId="0" xfId="0" applyFont="1"/>
    <xf numFmtId="0" fontId="7" fillId="3" borderId="1" xfId="0" applyFont="1" applyFill="1" applyBorder="1" applyAlignment="1">
      <alignment horizontal="center" vertical="center" wrapText="1"/>
    </xf>
    <xf numFmtId="0" fontId="8" fillId="5" borderId="1" xfId="0" applyFont="1" applyFill="1" applyBorder="1"/>
    <xf numFmtId="164" fontId="9" fillId="5" borderId="1" xfId="0" applyNumberFormat="1" applyFont="1" applyFill="1" applyBorder="1"/>
    <xf numFmtId="164" fontId="0" fillId="5" borderId="1" xfId="0" applyNumberFormat="1" applyFill="1" applyBorder="1"/>
    <xf numFmtId="165" fontId="0" fillId="5" borderId="1" xfId="0" applyNumberFormat="1" applyFill="1" applyBorder="1"/>
    <xf numFmtId="0" fontId="8" fillId="4" borderId="1" xfId="0" applyFont="1" applyFill="1" applyBorder="1"/>
    <xf numFmtId="164" fontId="9" fillId="4" borderId="1" xfId="0" applyNumberFormat="1" applyFont="1" applyFill="1" applyBorder="1"/>
    <xf numFmtId="164" fontId="0" fillId="4" borderId="1" xfId="0" applyNumberFormat="1" applyFill="1" applyBorder="1"/>
    <xf numFmtId="165" fontId="0" fillId="4" borderId="1" xfId="0" applyNumberFormat="1" applyFill="1" applyBorder="1"/>
    <xf numFmtId="0" fontId="22" fillId="9" borderId="1" xfId="0" applyFont="1" applyFill="1" applyBorder="1"/>
    <xf numFmtId="164" fontId="0" fillId="9" borderId="1" xfId="0" applyNumberFormat="1" applyFill="1" applyBorder="1"/>
    <xf numFmtId="0" fontId="8" fillId="4" borderId="1" xfId="0" applyFont="1" applyFill="1" applyBorder="1" applyAlignment="1">
      <alignment vertical="center" wrapText="1"/>
    </xf>
    <xf numFmtId="0" fontId="8" fillId="5" borderId="1" xfId="0" applyFont="1" applyFill="1" applyBorder="1" applyAlignment="1">
      <alignment vertical="center" wrapText="1"/>
    </xf>
    <xf numFmtId="164" fontId="10" fillId="5" borderId="1" xfId="0" applyNumberFormat="1" applyFont="1" applyFill="1" applyBorder="1"/>
    <xf numFmtId="0" fontId="11" fillId="6" borderId="2" xfId="0" applyFont="1" applyFill="1" applyBorder="1"/>
    <xf numFmtId="164" fontId="11" fillId="6" borderId="2" xfId="0" applyNumberFormat="1" applyFont="1" applyFill="1" applyBorder="1"/>
    <xf numFmtId="0" fontId="11" fillId="7" borderId="1" xfId="0" applyFont="1" applyFill="1" applyBorder="1"/>
    <xf numFmtId="165" fontId="12" fillId="7" borderId="1" xfId="0" applyNumberFormat="1" applyFont="1" applyFill="1" applyBorder="1"/>
    <xf numFmtId="0" fontId="0" fillId="5" borderId="1" xfId="0" applyFill="1" applyBorder="1"/>
    <xf numFmtId="0" fontId="0" fillId="4" borderId="1" xfId="0" applyFill="1" applyBorder="1"/>
    <xf numFmtId="165" fontId="11" fillId="6" borderId="2" xfId="0" applyNumberFormat="1" applyFont="1" applyFill="1" applyBorder="1"/>
    <xf numFmtId="0" fontId="15" fillId="5" borderId="1" xfId="0" applyFont="1" applyFill="1" applyBorder="1" applyAlignment="1">
      <alignment vertical="center" wrapText="1"/>
    </xf>
    <xf numFmtId="0" fontId="15" fillId="4" borderId="1" xfId="0" applyFont="1" applyFill="1" applyBorder="1" applyAlignment="1">
      <alignment vertical="center" wrapText="1"/>
    </xf>
    <xf numFmtId="0" fontId="15" fillId="0" borderId="0" xfId="0" applyFont="1"/>
    <xf numFmtId="164" fontId="16" fillId="0" borderId="0" xfId="0" applyNumberFormat="1" applyFont="1"/>
    <xf numFmtId="165" fontId="8" fillId="5" borderId="1" xfId="0" applyNumberFormat="1" applyFont="1" applyFill="1" applyBorder="1"/>
    <xf numFmtId="0" fontId="15" fillId="5" borderId="1" xfId="0" applyFont="1" applyFill="1" applyBorder="1"/>
    <xf numFmtId="165" fontId="8" fillId="4" borderId="1" xfId="0" applyNumberFormat="1" applyFont="1" applyFill="1" applyBorder="1"/>
    <xf numFmtId="0" fontId="15" fillId="4" borderId="1" xfId="0" applyFont="1" applyFill="1" applyBorder="1"/>
    <xf numFmtId="0" fontId="6" fillId="4" borderId="1" xfId="0" applyFont="1" applyFill="1" applyBorder="1"/>
    <xf numFmtId="0" fontId="8" fillId="8" borderId="1" xfId="0" applyFont="1" applyFill="1" applyBorder="1" applyAlignment="1">
      <alignment vertical="center" wrapText="1"/>
    </xf>
    <xf numFmtId="0" fontId="8" fillId="8" borderId="1" xfId="0" applyFont="1" applyFill="1" applyBorder="1"/>
    <xf numFmtId="165" fontId="8" fillId="8" borderId="1" xfId="0" applyNumberFormat="1" applyFont="1" applyFill="1" applyBorder="1"/>
    <xf numFmtId="0" fontId="15" fillId="8" borderId="1" xfId="0" applyFont="1" applyFill="1" applyBorder="1"/>
    <xf numFmtId="164" fontId="10" fillId="8" borderId="1" xfId="0" applyNumberFormat="1" applyFont="1" applyFill="1" applyBorder="1"/>
    <xf numFmtId="0" fontId="15" fillId="8" borderId="1" xfId="0" applyFont="1" applyFill="1" applyBorder="1" applyAlignment="1">
      <alignment vertical="center" wrapText="1"/>
    </xf>
    <xf numFmtId="0" fontId="17" fillId="5" borderId="1" xfId="0" applyFont="1" applyFill="1" applyBorder="1"/>
    <xf numFmtId="0" fontId="17" fillId="4" borderId="1" xfId="0" applyFont="1" applyFill="1" applyBorder="1"/>
    <xf numFmtId="164" fontId="10" fillId="4" borderId="1" xfId="0" applyNumberFormat="1" applyFont="1" applyFill="1" applyBorder="1"/>
    <xf numFmtId="0" fontId="18" fillId="4" borderId="1" xfId="0" applyFont="1" applyFill="1" applyBorder="1"/>
    <xf numFmtId="164" fontId="19" fillId="4" borderId="1" xfId="0" applyNumberFormat="1" applyFont="1" applyFill="1" applyBorder="1"/>
    <xf numFmtId="164" fontId="12" fillId="6" borderId="2" xfId="0" applyNumberFormat="1" applyFont="1" applyFill="1" applyBorder="1"/>
    <xf numFmtId="165" fontId="20" fillId="6" borderId="2" xfId="0" applyNumberFormat="1" applyFont="1" applyFill="1" applyBorder="1"/>
    <xf numFmtId="0" fontId="21" fillId="9" borderId="2" xfId="0" applyFont="1" applyFill="1" applyBorder="1"/>
    <xf numFmtId="164" fontId="21" fillId="9" borderId="2" xfId="0" applyNumberFormat="1" applyFont="1" applyFill="1" applyBorder="1"/>
    <xf numFmtId="165" fontId="20" fillId="9" borderId="2" xfId="0" applyNumberFormat="1" applyFont="1" applyFill="1" applyBorder="1"/>
    <xf numFmtId="164" fontId="8" fillId="4" borderId="1" xfId="0" applyNumberFormat="1" applyFont="1" applyFill="1" applyBorder="1"/>
    <xf numFmtId="0" fontId="22" fillId="6" borderId="2" xfId="0" applyFont="1" applyFill="1" applyBorder="1"/>
    <xf numFmtId="164" fontId="22" fillId="6" borderId="2" xfId="0" applyNumberFormat="1" applyFont="1" applyFill="1" applyBorder="1"/>
    <xf numFmtId="0" fontId="12" fillId="6" borderId="2" xfId="0" applyFont="1" applyFill="1" applyBorder="1"/>
    <xf numFmtId="164" fontId="12" fillId="9" borderId="2" xfId="0" applyNumberFormat="1" applyFont="1" applyFill="1" applyBorder="1"/>
    <xf numFmtId="0" fontId="22" fillId="8" borderId="1" xfId="0" applyFont="1" applyFill="1" applyBorder="1"/>
    <xf numFmtId="164" fontId="23" fillId="8" borderId="1" xfId="0" applyNumberFormat="1" applyFont="1" applyFill="1" applyBorder="1"/>
    <xf numFmtId="165" fontId="22" fillId="8" borderId="1" xfId="0" applyNumberFormat="1" applyFont="1" applyFill="1" applyBorder="1"/>
    <xf numFmtId="0" fontId="31" fillId="11" borderId="9" xfId="0" applyFont="1" applyFill="1" applyBorder="1" applyAlignment="1">
      <alignment horizontal="center" vertical="center" wrapText="1"/>
    </xf>
    <xf numFmtId="0" fontId="33" fillId="12" borderId="9" xfId="0" applyFont="1" applyFill="1" applyBorder="1" applyAlignment="1">
      <alignment vertical="center" wrapText="1"/>
    </xf>
    <xf numFmtId="0" fontId="32" fillId="12" borderId="9" xfId="0" applyFont="1" applyFill="1" applyBorder="1"/>
    <xf numFmtId="0" fontId="34" fillId="12" borderId="9" xfId="0" applyFont="1" applyFill="1" applyBorder="1" applyAlignment="1">
      <alignment horizontal="center"/>
    </xf>
    <xf numFmtId="164" fontId="38" fillId="12" borderId="9" xfId="0" applyNumberFormat="1" applyFont="1" applyFill="1" applyBorder="1"/>
    <xf numFmtId="0" fontId="33" fillId="13" borderId="9" xfId="0" applyFont="1" applyFill="1" applyBorder="1" applyAlignment="1">
      <alignment vertical="center" wrapText="1"/>
    </xf>
    <xf numFmtId="0" fontId="0" fillId="13" borderId="9" xfId="0" applyFill="1" applyBorder="1"/>
    <xf numFmtId="0" fontId="34" fillId="13" borderId="9" xfId="0" applyFont="1" applyFill="1" applyBorder="1" applyAlignment="1">
      <alignment horizontal="center"/>
    </xf>
    <xf numFmtId="164" fontId="38" fillId="13" borderId="9" xfId="0" applyNumberFormat="1" applyFont="1" applyFill="1" applyBorder="1"/>
    <xf numFmtId="164" fontId="37" fillId="14" borderId="10" xfId="0" applyNumberFormat="1" applyFont="1" applyFill="1" applyBorder="1"/>
    <xf numFmtId="166" fontId="0" fillId="12" borderId="9" xfId="0" applyNumberFormat="1" applyFill="1" applyBorder="1"/>
    <xf numFmtId="166" fontId="32" fillId="13" borderId="9" xfId="0" applyNumberFormat="1" applyFont="1" applyFill="1" applyBorder="1"/>
    <xf numFmtId="0" fontId="36" fillId="12" borderId="9" xfId="0" applyFont="1" applyFill="1" applyBorder="1" applyAlignment="1">
      <alignment vertical="center" wrapText="1"/>
    </xf>
    <xf numFmtId="166" fontId="37" fillId="12" borderId="9" xfId="0" applyNumberFormat="1" applyFont="1" applyFill="1" applyBorder="1"/>
    <xf numFmtId="164" fontId="32" fillId="12" borderId="9" xfId="0" applyNumberFormat="1" applyFont="1" applyFill="1" applyBorder="1"/>
    <xf numFmtId="167" fontId="32" fillId="12" borderId="9" xfId="0" applyNumberFormat="1" applyFont="1" applyFill="1" applyBorder="1"/>
    <xf numFmtId="164" fontId="0" fillId="12" borderId="9" xfId="0" applyNumberFormat="1" applyFill="1" applyBorder="1"/>
    <xf numFmtId="0" fontId="39" fillId="12" borderId="9" xfId="0" applyFont="1" applyFill="1" applyBorder="1" applyAlignment="1">
      <alignment vertical="center" wrapText="1"/>
    </xf>
    <xf numFmtId="164" fontId="0" fillId="13" borderId="9" xfId="0" applyNumberFormat="1" applyFill="1" applyBorder="1"/>
    <xf numFmtId="167" fontId="0" fillId="13" borderId="9" xfId="0" applyNumberFormat="1" applyFill="1" applyBorder="1"/>
    <xf numFmtId="0" fontId="39" fillId="13" borderId="9" xfId="0" applyFont="1" applyFill="1" applyBorder="1" applyAlignment="1">
      <alignment vertical="center" wrapText="1"/>
    </xf>
    <xf numFmtId="164" fontId="32" fillId="13" borderId="9" xfId="0" applyNumberFormat="1" applyFont="1" applyFill="1" applyBorder="1"/>
    <xf numFmtId="168" fontId="38" fillId="13" borderId="9" xfId="0" applyNumberFormat="1" applyFont="1" applyFill="1" applyBorder="1"/>
    <xf numFmtId="164" fontId="41" fillId="12" borderId="9" xfId="0" applyNumberFormat="1" applyFont="1" applyFill="1" applyBorder="1"/>
    <xf numFmtId="0" fontId="33" fillId="16" borderId="9" xfId="0" applyFont="1" applyFill="1" applyBorder="1" applyAlignment="1">
      <alignment vertical="center" wrapText="1"/>
    </xf>
    <xf numFmtId="0" fontId="34" fillId="16" borderId="9" xfId="0" applyFont="1" applyFill="1" applyBorder="1"/>
    <xf numFmtId="164" fontId="38" fillId="16" borderId="9" xfId="0" applyNumberFormat="1" applyFont="1" applyFill="1" applyBorder="1"/>
    <xf numFmtId="0" fontId="36" fillId="16" borderId="11" xfId="0" applyFont="1" applyFill="1" applyBorder="1" applyAlignment="1">
      <alignment vertical="center" wrapText="1"/>
    </xf>
    <xf numFmtId="164" fontId="43" fillId="16" borderId="11" xfId="0" applyNumberFormat="1" applyFont="1" applyFill="1" applyBorder="1"/>
    <xf numFmtId="166" fontId="43" fillId="16" borderId="11" xfId="0" applyNumberFormat="1" applyFont="1" applyFill="1" applyBorder="1"/>
    <xf numFmtId="169" fontId="43" fillId="16" borderId="11" xfId="0" applyNumberFormat="1" applyFont="1" applyFill="1" applyBorder="1"/>
    <xf numFmtId="165" fontId="38" fillId="16" borderId="9" xfId="0" applyNumberFormat="1" applyFont="1" applyFill="1" applyBorder="1"/>
    <xf numFmtId="0" fontId="45" fillId="12" borderId="9" xfId="0" applyFont="1" applyFill="1" applyBorder="1"/>
    <xf numFmtId="170" fontId="38" fillId="12" borderId="9" xfId="0" applyNumberFormat="1" applyFont="1" applyFill="1" applyBorder="1"/>
    <xf numFmtId="0" fontId="46" fillId="12" borderId="9" xfId="0" applyFont="1" applyFill="1" applyBorder="1" applyAlignment="1">
      <alignment vertical="center" wrapText="1"/>
    </xf>
    <xf numFmtId="0" fontId="45" fillId="13" borderId="9" xfId="0" applyFont="1" applyFill="1" applyBorder="1"/>
    <xf numFmtId="171" fontId="38" fillId="13" borderId="9" xfId="0" applyNumberFormat="1" applyFont="1" applyFill="1" applyBorder="1"/>
    <xf numFmtId="0" fontId="46" fillId="13" borderId="9" xfId="0" applyFont="1" applyFill="1" applyBorder="1" applyAlignment="1">
      <alignment vertical="center" wrapText="1"/>
    </xf>
    <xf numFmtId="0" fontId="43" fillId="16" borderId="11" xfId="0" applyFont="1" applyFill="1" applyBorder="1"/>
    <xf numFmtId="172" fontId="44" fillId="16" borderId="11" xfId="0" applyNumberFormat="1" applyFont="1" applyFill="1" applyBorder="1"/>
    <xf numFmtId="0" fontId="43" fillId="16" borderId="11" xfId="0" applyFont="1" applyFill="1" applyBorder="1" applyAlignment="1">
      <alignment vertical="center" wrapText="1"/>
    </xf>
    <xf numFmtId="8" fontId="0" fillId="5" borderId="1" xfId="0" applyNumberFormat="1" applyFill="1" applyBorder="1"/>
    <xf numFmtId="8" fontId="0" fillId="4" borderId="1" xfId="0" applyNumberFormat="1" applyFill="1" applyBorder="1"/>
    <xf numFmtId="8" fontId="0" fillId="9" borderId="1" xfId="0" applyNumberFormat="1" applyFill="1" applyBorder="1"/>
    <xf numFmtId="10" fontId="0" fillId="5" borderId="1" xfId="0" applyNumberFormat="1" applyFill="1" applyBorder="1"/>
    <xf numFmtId="10" fontId="0" fillId="4" borderId="1" xfId="0" applyNumberFormat="1" applyFill="1" applyBorder="1"/>
    <xf numFmtId="10" fontId="0" fillId="9" borderId="1" xfId="0" applyNumberFormat="1" applyFill="1" applyBorder="1"/>
    <xf numFmtId="0" fontId="50" fillId="17" borderId="17" xfId="0" applyFont="1" applyFill="1" applyBorder="1" applyAlignment="1">
      <alignment horizontal="left" vertical="center"/>
    </xf>
    <xf numFmtId="0" fontId="52" fillId="19" borderId="17" xfId="0" applyFont="1" applyFill="1" applyBorder="1" applyAlignment="1">
      <alignment horizontal="left" vertical="top" wrapText="1"/>
    </xf>
    <xf numFmtId="0" fontId="53" fillId="19" borderId="17" xfId="0" applyFont="1" applyFill="1" applyBorder="1" applyAlignment="1">
      <alignment horizontal="left" vertical="top" wrapText="1"/>
    </xf>
    <xf numFmtId="0" fontId="52" fillId="20" borderId="17" xfId="0" applyFont="1" applyFill="1" applyBorder="1" applyAlignment="1">
      <alignment horizontal="left" vertical="top" wrapText="1"/>
    </xf>
    <xf numFmtId="0" fontId="53" fillId="20" borderId="17" xfId="0" applyFont="1" applyFill="1" applyBorder="1" applyAlignment="1">
      <alignment horizontal="left" vertical="top" wrapText="1"/>
    </xf>
    <xf numFmtId="0" fontId="6" fillId="0" borderId="0" xfId="0" applyFont="1"/>
    <xf numFmtId="0" fontId="0" fillId="0" borderId="0" xfId="0"/>
    <xf numFmtId="0" fontId="26" fillId="10" borderId="3" xfId="0" applyFont="1" applyFill="1" applyBorder="1" applyAlignment="1">
      <alignment horizontal="center" vertical="center" wrapText="1"/>
    </xf>
    <xf numFmtId="0" fontId="0" fillId="0" borderId="5" xfId="0" applyBorder="1"/>
    <xf numFmtId="8" fontId="5" fillId="10" borderId="4" xfId="0" applyNumberFormat="1" applyFont="1" applyFill="1" applyBorder="1" applyAlignment="1">
      <alignment horizontal="center" vertical="center"/>
    </xf>
    <xf numFmtId="0" fontId="0" fillId="0" borderId="6" xfId="0" applyBorder="1"/>
    <xf numFmtId="0" fontId="0" fillId="0" borderId="7" xfId="0" applyBorder="1"/>
    <xf numFmtId="0" fontId="0" fillId="0" borderId="8" xfId="0" applyBorder="1"/>
    <xf numFmtId="8" fontId="27" fillId="10" borderId="4" xfId="0" applyNumberFormat="1" applyFont="1" applyFill="1" applyBorder="1" applyAlignment="1">
      <alignment horizontal="center" vertical="center"/>
    </xf>
    <xf numFmtId="0" fontId="13" fillId="0" borderId="0" xfId="0" applyFont="1"/>
    <xf numFmtId="10" fontId="27" fillId="10" borderId="4" xfId="1" applyNumberFormat="1" applyFont="1" applyFill="1" applyBorder="1" applyAlignment="1">
      <alignment horizontal="center" vertical="center"/>
    </xf>
    <xf numFmtId="10" fontId="5" fillId="10" borderId="4" xfId="1" applyNumberFormat="1" applyFont="1" applyFill="1" applyBorder="1" applyAlignment="1">
      <alignment horizontal="center" vertical="center"/>
    </xf>
    <xf numFmtId="0" fontId="25" fillId="0" borderId="0" xfId="0" applyFont="1"/>
    <xf numFmtId="0" fontId="4" fillId="2" borderId="0" xfId="0" applyFont="1" applyFill="1" applyAlignment="1">
      <alignment horizontal="center" vertical="top" wrapText="1"/>
    </xf>
    <xf numFmtId="0" fontId="2" fillId="2" borderId="0" xfId="0" applyFont="1" applyFill="1" applyAlignment="1">
      <alignment horizontal="center" vertical="top" wrapText="1"/>
    </xf>
    <xf numFmtId="0" fontId="1" fillId="2" borderId="0" xfId="0" applyFont="1" applyFill="1" applyAlignment="1">
      <alignment horizontal="center"/>
    </xf>
    <xf numFmtId="0" fontId="3" fillId="2" borderId="0" xfId="0" applyFont="1" applyFill="1" applyAlignment="1">
      <alignment horizontal="center"/>
    </xf>
    <xf numFmtId="0" fontId="5" fillId="0" borderId="0" xfId="0" applyFont="1"/>
    <xf numFmtId="0" fontId="14" fillId="0" borderId="0" xfId="0" applyFont="1"/>
    <xf numFmtId="0" fontId="6" fillId="0" borderId="0" xfId="0" applyFont="1" applyAlignment="1">
      <alignment vertical="top" wrapText="1"/>
    </xf>
    <xf numFmtId="0" fontId="6" fillId="0" borderId="0" xfId="0" applyFont="1" applyAlignment="1">
      <alignment wrapText="1"/>
    </xf>
    <xf numFmtId="0" fontId="24" fillId="0" borderId="0" xfId="0" applyFont="1"/>
    <xf numFmtId="0" fontId="35" fillId="0" borderId="0" xfId="0" applyFont="1"/>
    <xf numFmtId="0" fontId="29" fillId="0" borderId="0" xfId="0" applyFont="1" applyAlignment="1">
      <alignment vertical="top" wrapText="1"/>
    </xf>
    <xf numFmtId="0" fontId="43" fillId="16" borderId="11" xfId="0" applyFont="1" applyFill="1" applyBorder="1" applyAlignment="1">
      <alignment vertical="top" wrapText="1"/>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30" fillId="0" borderId="0" xfId="0" applyFont="1"/>
    <xf numFmtId="0" fontId="28" fillId="0" borderId="0" xfId="0" applyFont="1"/>
    <xf numFmtId="0" fontId="40" fillId="15" borderId="0" xfId="0" applyFont="1" applyFill="1" applyAlignment="1">
      <alignment vertical="top" wrapText="1"/>
    </xf>
    <xf numFmtId="0" fontId="42" fillId="0" borderId="0" xfId="0" applyFont="1"/>
    <xf numFmtId="0" fontId="51" fillId="18" borderId="17" xfId="0" applyFont="1" applyFill="1" applyBorder="1" applyAlignment="1">
      <alignment horizontal="left" vertical="center"/>
    </xf>
    <xf numFmtId="0" fontId="0" fillId="18" borderId="17" xfId="0" applyFill="1" applyBorder="1"/>
    <xf numFmtId="0" fontId="49" fillId="0" borderId="0" xfId="0" applyFont="1" applyAlignment="1">
      <alignment vertical="top" wrapText="1"/>
    </xf>
    <xf numFmtId="0" fontId="54" fillId="0" borderId="0" xfId="0" applyFont="1" applyAlignment="1">
      <alignment vertical="top" wrapText="1"/>
    </xf>
    <xf numFmtId="0" fontId="48" fillId="0" borderId="0" xfId="0" applyFont="1"/>
  </cellXfs>
  <cellStyles count="2">
    <cellStyle name="Normal" xfId="0" builtinId="0"/>
    <cellStyle name="Porcentaje"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342900</xdr:colOff>
      <xdr:row>5</xdr:row>
      <xdr:rowOff>0</xdr:rowOff>
    </xdr:from>
    <xdr:ext cx="6096000" cy="20288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1028700" y="1143000"/>
          <a:ext cx="6096000" cy="2028825"/>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175260</xdr:colOff>
      <xdr:row>0</xdr:row>
      <xdr:rowOff>58329</xdr:rowOff>
    </xdr:from>
    <xdr:ext cx="2179320" cy="725304"/>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xfrm>
          <a:off x="175260" y="58329"/>
          <a:ext cx="2179320" cy="725304"/>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5612E"/>
    <pageSetUpPr fitToPage="1"/>
  </sheetPr>
  <dimension ref="A1:L40"/>
  <sheetViews>
    <sheetView showGridLines="0" topLeftCell="A18" zoomScale="89" zoomScaleNormal="70" workbookViewId="0">
      <selection activeCell="B27" sqref="B27:K29"/>
    </sheetView>
  </sheetViews>
  <sheetFormatPr baseColWidth="10" defaultColWidth="8.88671875" defaultRowHeight="14.4" x14ac:dyDescent="0.3"/>
  <cols>
    <col min="1" max="12" width="10" customWidth="1"/>
  </cols>
  <sheetData>
    <row r="1" spans="1:12" ht="18" customHeight="1" x14ac:dyDescent="0.3">
      <c r="A1" s="1"/>
      <c r="B1" s="1"/>
      <c r="C1" s="1"/>
      <c r="D1" s="1"/>
      <c r="E1" s="1"/>
      <c r="F1" s="1"/>
      <c r="G1" s="1"/>
      <c r="H1" s="1"/>
      <c r="I1" s="1"/>
      <c r="J1" s="1"/>
      <c r="K1" s="1"/>
      <c r="L1" s="1"/>
    </row>
    <row r="2" spans="1:12" ht="18" customHeight="1" x14ac:dyDescent="0.3">
      <c r="A2" s="1"/>
      <c r="B2" s="1"/>
      <c r="C2" s="1"/>
      <c r="D2" s="1"/>
      <c r="E2" s="1"/>
      <c r="F2" s="1"/>
      <c r="G2" s="1"/>
      <c r="H2" s="1"/>
      <c r="I2" s="1"/>
      <c r="J2" s="1"/>
      <c r="K2" s="1"/>
      <c r="L2" s="1"/>
    </row>
    <row r="3" spans="1:12" ht="18" customHeight="1" x14ac:dyDescent="0.3">
      <c r="A3" s="1"/>
      <c r="B3" s="1"/>
      <c r="C3" s="1"/>
      <c r="D3" s="1"/>
      <c r="E3" s="1"/>
      <c r="F3" s="1"/>
      <c r="G3" s="1"/>
      <c r="H3" s="1"/>
      <c r="I3" s="1"/>
      <c r="J3" s="1"/>
      <c r="K3" s="1"/>
      <c r="L3" s="1"/>
    </row>
    <row r="4" spans="1:12" ht="18" customHeight="1" x14ac:dyDescent="0.3">
      <c r="A4" s="1"/>
      <c r="B4" s="1"/>
      <c r="C4" s="1"/>
      <c r="D4" s="1"/>
      <c r="E4" s="1"/>
      <c r="F4" s="1"/>
      <c r="G4" s="1"/>
      <c r="H4" s="1"/>
      <c r="I4" s="1"/>
      <c r="J4" s="1"/>
      <c r="K4" s="1"/>
      <c r="L4" s="1"/>
    </row>
    <row r="5" spans="1:12" ht="18" customHeight="1" x14ac:dyDescent="0.3">
      <c r="A5" s="1"/>
      <c r="B5" s="1"/>
      <c r="C5" s="1"/>
      <c r="D5" s="1"/>
      <c r="E5" s="1"/>
      <c r="F5" s="1"/>
      <c r="G5" s="1"/>
      <c r="H5" s="1"/>
      <c r="I5" s="1"/>
      <c r="J5" s="1"/>
      <c r="K5" s="1"/>
      <c r="L5" s="1"/>
    </row>
    <row r="6" spans="1:12" ht="18" customHeight="1" x14ac:dyDescent="0.3">
      <c r="A6" s="1"/>
      <c r="B6" s="1"/>
      <c r="C6" s="1"/>
      <c r="D6" s="1"/>
      <c r="E6" s="1"/>
      <c r="F6" s="1"/>
      <c r="G6" s="1"/>
      <c r="H6" s="1"/>
      <c r="I6" s="1"/>
      <c r="J6" s="1"/>
      <c r="K6" s="1"/>
      <c r="L6" s="1"/>
    </row>
    <row r="7" spans="1:12" ht="18" customHeight="1" x14ac:dyDescent="0.3">
      <c r="A7" s="1"/>
      <c r="B7" s="1"/>
      <c r="C7" s="1"/>
      <c r="D7" s="1"/>
      <c r="E7" s="1"/>
      <c r="F7" s="1"/>
      <c r="G7" s="1"/>
      <c r="H7" s="1"/>
      <c r="I7" s="1"/>
      <c r="J7" s="1"/>
      <c r="K7" s="1"/>
      <c r="L7" s="1"/>
    </row>
    <row r="8" spans="1:12" ht="18" customHeight="1" x14ac:dyDescent="0.3">
      <c r="A8" s="1"/>
      <c r="B8" s="1"/>
      <c r="C8" s="1"/>
      <c r="D8" s="1"/>
      <c r="E8" s="1"/>
      <c r="F8" s="1"/>
      <c r="G8" s="1"/>
      <c r="H8" s="1"/>
      <c r="I8" s="1"/>
      <c r="J8" s="1"/>
      <c r="K8" s="1"/>
      <c r="L8" s="1"/>
    </row>
    <row r="9" spans="1:12" ht="18" customHeight="1" x14ac:dyDescent="0.3">
      <c r="A9" s="1"/>
      <c r="B9" s="1"/>
      <c r="C9" s="1"/>
      <c r="D9" s="1"/>
      <c r="E9" s="1"/>
      <c r="F9" s="1"/>
      <c r="G9" s="1"/>
      <c r="H9" s="1"/>
      <c r="I9" s="1"/>
      <c r="J9" s="1"/>
      <c r="K9" s="1"/>
      <c r="L9" s="1"/>
    </row>
    <row r="10" spans="1:12" ht="18" customHeight="1" x14ac:dyDescent="0.3">
      <c r="A10" s="1"/>
      <c r="B10" s="1"/>
      <c r="C10" s="1"/>
      <c r="D10" s="1"/>
      <c r="E10" s="1"/>
      <c r="F10" s="1"/>
      <c r="G10" s="1"/>
      <c r="H10" s="1"/>
      <c r="I10" s="1"/>
      <c r="J10" s="1"/>
      <c r="K10" s="1"/>
      <c r="L10" s="1"/>
    </row>
    <row r="11" spans="1:12" ht="18" customHeight="1" x14ac:dyDescent="0.3">
      <c r="A11" s="1"/>
      <c r="B11" s="1"/>
      <c r="C11" s="1"/>
      <c r="D11" s="1"/>
      <c r="E11" s="1"/>
      <c r="F11" s="1"/>
      <c r="G11" s="1"/>
      <c r="H11" s="1"/>
      <c r="I11" s="1"/>
      <c r="J11" s="1"/>
      <c r="K11" s="1"/>
      <c r="L11" s="1"/>
    </row>
    <row r="12" spans="1:12" ht="18" customHeight="1" x14ac:dyDescent="0.3">
      <c r="A12" s="1"/>
      <c r="B12" s="1"/>
      <c r="C12" s="1"/>
      <c r="D12" s="1"/>
      <c r="E12" s="1"/>
      <c r="F12" s="1"/>
      <c r="G12" s="1"/>
      <c r="H12" s="1"/>
      <c r="I12" s="1"/>
      <c r="J12" s="1"/>
      <c r="K12" s="1"/>
      <c r="L12" s="1"/>
    </row>
    <row r="13" spans="1:12" ht="18" customHeight="1" x14ac:dyDescent="0.3">
      <c r="A13" s="1"/>
      <c r="B13" s="1"/>
      <c r="C13" s="1"/>
      <c r="D13" s="1"/>
      <c r="E13" s="1"/>
      <c r="F13" s="1"/>
      <c r="G13" s="1"/>
      <c r="H13" s="1"/>
      <c r="I13" s="1"/>
      <c r="J13" s="1"/>
      <c r="K13" s="1"/>
      <c r="L13" s="1"/>
    </row>
    <row r="14" spans="1:12" ht="18" customHeight="1" x14ac:dyDescent="0.3">
      <c r="A14" s="1"/>
      <c r="B14" s="1"/>
      <c r="C14" s="1"/>
      <c r="D14" s="1"/>
      <c r="E14" s="1"/>
      <c r="F14" s="1"/>
      <c r="G14" s="1"/>
      <c r="H14" s="1"/>
      <c r="I14" s="1"/>
      <c r="J14" s="1"/>
      <c r="K14" s="1"/>
      <c r="L14" s="1"/>
    </row>
    <row r="15" spans="1:12" ht="18" customHeight="1" x14ac:dyDescent="0.3">
      <c r="A15" s="1"/>
      <c r="B15" s="1"/>
      <c r="C15" s="1"/>
      <c r="D15" s="1"/>
      <c r="E15" s="1"/>
      <c r="F15" s="1"/>
      <c r="G15" s="1"/>
      <c r="H15" s="1"/>
      <c r="I15" s="1"/>
      <c r="J15" s="1"/>
      <c r="K15" s="1"/>
      <c r="L15" s="1"/>
    </row>
    <row r="16" spans="1:12" ht="18" customHeight="1" x14ac:dyDescent="0.3">
      <c r="A16" s="1"/>
      <c r="B16" s="1"/>
      <c r="C16" s="1"/>
      <c r="D16" s="1"/>
      <c r="E16" s="1"/>
      <c r="F16" s="1"/>
      <c r="G16" s="1"/>
      <c r="H16" s="1"/>
      <c r="I16" s="1"/>
      <c r="J16" s="1"/>
      <c r="K16" s="1"/>
      <c r="L16" s="1"/>
    </row>
    <row r="17" spans="1:12" ht="18" customHeight="1" x14ac:dyDescent="0.3">
      <c r="A17" s="1"/>
      <c r="B17" s="1"/>
      <c r="C17" s="1"/>
      <c r="D17" s="1"/>
      <c r="E17" s="1"/>
      <c r="F17" s="1"/>
      <c r="G17" s="1"/>
      <c r="H17" s="1"/>
      <c r="I17" s="1"/>
      <c r="J17" s="1"/>
      <c r="K17" s="1"/>
      <c r="L17" s="1"/>
    </row>
    <row r="18" spans="1:12" ht="38.4" customHeight="1" x14ac:dyDescent="0.7">
      <c r="A18" s="1"/>
      <c r="B18" s="124" t="s">
        <v>26</v>
      </c>
      <c r="C18" s="110"/>
      <c r="D18" s="110"/>
      <c r="E18" s="110"/>
      <c r="F18" s="110"/>
      <c r="G18" s="110"/>
      <c r="H18" s="110"/>
      <c r="I18" s="110"/>
      <c r="J18" s="110"/>
      <c r="K18" s="110"/>
      <c r="L18" s="1"/>
    </row>
    <row r="19" spans="1:12" ht="18" customHeight="1" x14ac:dyDescent="0.3">
      <c r="A19" s="1"/>
      <c r="B19" s="1"/>
      <c r="C19" s="1"/>
      <c r="D19" s="1"/>
      <c r="E19" s="1"/>
      <c r="F19" s="1"/>
      <c r="G19" s="1"/>
      <c r="H19" s="1"/>
      <c r="I19" s="1"/>
      <c r="J19" s="1"/>
      <c r="K19" s="1"/>
      <c r="L19" s="1"/>
    </row>
    <row r="20" spans="1:12" ht="18" customHeight="1" x14ac:dyDescent="0.3">
      <c r="A20" s="1"/>
      <c r="B20" s="123" t="s">
        <v>27</v>
      </c>
      <c r="C20" s="110"/>
      <c r="D20" s="110"/>
      <c r="E20" s="110"/>
      <c r="F20" s="110"/>
      <c r="G20" s="110"/>
      <c r="H20" s="110"/>
      <c r="I20" s="110"/>
      <c r="J20" s="110"/>
      <c r="K20" s="110"/>
      <c r="L20" s="1"/>
    </row>
    <row r="21" spans="1:12" ht="18" customHeight="1" x14ac:dyDescent="0.3">
      <c r="A21" s="1"/>
      <c r="B21" s="110"/>
      <c r="C21" s="110"/>
      <c r="D21" s="110"/>
      <c r="E21" s="110"/>
      <c r="F21" s="110"/>
      <c r="G21" s="110"/>
      <c r="H21" s="110"/>
      <c r="I21" s="110"/>
      <c r="J21" s="110"/>
      <c r="K21" s="110"/>
      <c r="L21" s="1"/>
    </row>
    <row r="22" spans="1:12" ht="18" customHeight="1" x14ac:dyDescent="0.3">
      <c r="A22" s="1"/>
      <c r="B22" s="1"/>
      <c r="C22" s="1"/>
      <c r="D22" s="1"/>
      <c r="E22" s="1"/>
      <c r="F22" s="1"/>
      <c r="G22" s="1"/>
      <c r="H22" s="1"/>
      <c r="I22" s="1"/>
      <c r="J22" s="1"/>
      <c r="K22" s="1"/>
      <c r="L22" s="1"/>
    </row>
    <row r="23" spans="1:12" ht="18" customHeight="1" x14ac:dyDescent="0.3">
      <c r="A23" s="1"/>
      <c r="B23" s="1"/>
      <c r="C23" s="1"/>
      <c r="D23" s="1"/>
      <c r="E23" s="1"/>
      <c r="F23" s="1"/>
      <c r="G23" s="1"/>
      <c r="H23" s="1"/>
      <c r="I23" s="1"/>
      <c r="J23" s="1"/>
      <c r="K23" s="1"/>
      <c r="L23" s="1"/>
    </row>
    <row r="24" spans="1:12" ht="18" customHeight="1" x14ac:dyDescent="0.35">
      <c r="A24" s="1"/>
      <c r="B24" s="125" t="s">
        <v>28</v>
      </c>
      <c r="C24" s="110"/>
      <c r="D24" s="110"/>
      <c r="E24" s="110"/>
      <c r="F24" s="110"/>
      <c r="G24" s="110"/>
      <c r="H24" s="110"/>
      <c r="I24" s="110"/>
      <c r="J24" s="110"/>
      <c r="K24" s="110"/>
      <c r="L24" s="1"/>
    </row>
    <row r="25" spans="1:12" ht="18" customHeight="1" x14ac:dyDescent="0.3">
      <c r="A25" s="1"/>
      <c r="B25" s="1"/>
      <c r="C25" s="1"/>
      <c r="D25" s="1"/>
      <c r="E25" s="1"/>
      <c r="F25" s="1"/>
      <c r="G25" s="1"/>
      <c r="H25" s="1"/>
      <c r="I25" s="1"/>
      <c r="J25" s="1"/>
      <c r="K25" s="1"/>
      <c r="L25" s="1"/>
    </row>
    <row r="26" spans="1:12" ht="18" customHeight="1" x14ac:dyDescent="0.3">
      <c r="A26" s="1"/>
      <c r="B26" s="1"/>
      <c r="C26" s="1"/>
      <c r="D26" s="1"/>
      <c r="E26" s="1"/>
      <c r="F26" s="1"/>
      <c r="G26" s="1"/>
      <c r="H26" s="1"/>
      <c r="I26" s="1"/>
      <c r="J26" s="1"/>
      <c r="K26" s="1"/>
      <c r="L26" s="1"/>
    </row>
    <row r="27" spans="1:12" ht="18" customHeight="1" x14ac:dyDescent="0.3">
      <c r="A27" s="1"/>
      <c r="B27" s="122" t="s">
        <v>29</v>
      </c>
      <c r="C27" s="110"/>
      <c r="D27" s="110"/>
      <c r="E27" s="110"/>
      <c r="F27" s="110"/>
      <c r="G27" s="110"/>
      <c r="H27" s="110"/>
      <c r="I27" s="110"/>
      <c r="J27" s="110"/>
      <c r="K27" s="110"/>
      <c r="L27" s="1"/>
    </row>
    <row r="28" spans="1:12" ht="18" customHeight="1" x14ac:dyDescent="0.3">
      <c r="A28" s="1"/>
      <c r="B28" s="110"/>
      <c r="C28" s="110"/>
      <c r="D28" s="110"/>
      <c r="E28" s="110"/>
      <c r="F28" s="110"/>
      <c r="G28" s="110"/>
      <c r="H28" s="110"/>
      <c r="I28" s="110"/>
      <c r="J28" s="110"/>
      <c r="K28" s="110"/>
      <c r="L28" s="1"/>
    </row>
    <row r="29" spans="1:12" ht="18" customHeight="1" x14ac:dyDescent="0.3">
      <c r="A29" s="1"/>
      <c r="B29" s="110"/>
      <c r="C29" s="110"/>
      <c r="D29" s="110"/>
      <c r="E29" s="110"/>
      <c r="F29" s="110"/>
      <c r="G29" s="110"/>
      <c r="H29" s="110"/>
      <c r="I29" s="110"/>
      <c r="J29" s="110"/>
      <c r="K29" s="110"/>
      <c r="L29" s="1"/>
    </row>
    <row r="30" spans="1:12" ht="18" customHeight="1" x14ac:dyDescent="0.3">
      <c r="A30" s="1"/>
      <c r="B30" s="1"/>
      <c r="C30" s="1"/>
      <c r="D30" s="1"/>
      <c r="E30" s="1"/>
      <c r="F30" s="1"/>
      <c r="G30" s="1"/>
      <c r="H30" s="1"/>
      <c r="I30" s="1"/>
      <c r="J30" s="1"/>
      <c r="K30" s="1"/>
      <c r="L30" s="1"/>
    </row>
    <row r="31" spans="1:12" ht="18" customHeight="1" x14ac:dyDescent="0.3">
      <c r="A31" s="1"/>
      <c r="B31" s="1"/>
      <c r="C31" s="1"/>
      <c r="D31" s="1"/>
      <c r="E31" s="1"/>
      <c r="F31" s="1"/>
      <c r="G31" s="1"/>
      <c r="H31" s="1"/>
      <c r="I31" s="1"/>
      <c r="J31" s="1"/>
      <c r="K31" s="1"/>
      <c r="L31" s="1"/>
    </row>
    <row r="32" spans="1:12" ht="18" customHeight="1" x14ac:dyDescent="0.3">
      <c r="A32" s="1"/>
      <c r="B32" s="1"/>
      <c r="C32" s="1"/>
      <c r="D32" s="1"/>
      <c r="E32" s="1"/>
      <c r="F32" s="1"/>
      <c r="G32" s="1"/>
      <c r="H32" s="1"/>
      <c r="I32" s="1"/>
      <c r="J32" s="1"/>
      <c r="K32" s="1"/>
      <c r="L32" s="1"/>
    </row>
    <row r="33" spans="1:12" ht="18" customHeight="1" x14ac:dyDescent="0.3">
      <c r="A33" s="1"/>
      <c r="B33" s="1"/>
      <c r="C33" s="1"/>
      <c r="D33" s="1"/>
      <c r="E33" s="1"/>
      <c r="F33" s="1"/>
      <c r="G33" s="1"/>
      <c r="H33" s="1"/>
      <c r="I33" s="1"/>
      <c r="J33" s="1"/>
      <c r="K33" s="1"/>
      <c r="L33" s="1"/>
    </row>
    <row r="34" spans="1:12" ht="18" customHeight="1" x14ac:dyDescent="0.3">
      <c r="A34" s="1"/>
      <c r="B34" s="1"/>
      <c r="C34" s="1"/>
      <c r="D34" s="1"/>
      <c r="E34" s="1"/>
      <c r="F34" s="1"/>
      <c r="G34" s="1"/>
      <c r="H34" s="1"/>
      <c r="I34" s="1"/>
      <c r="J34" s="1"/>
      <c r="K34" s="1"/>
      <c r="L34" s="1"/>
    </row>
    <row r="35" spans="1:12" ht="18" customHeight="1" x14ac:dyDescent="0.3">
      <c r="A35" s="1"/>
      <c r="B35" s="1"/>
      <c r="C35" s="1"/>
      <c r="D35" s="1"/>
      <c r="E35" s="1"/>
      <c r="F35" s="1"/>
      <c r="G35" s="1"/>
      <c r="H35" s="1"/>
      <c r="I35" s="1"/>
      <c r="J35" s="1"/>
      <c r="K35" s="1"/>
      <c r="L35" s="1"/>
    </row>
    <row r="36" spans="1:12" ht="18" customHeight="1" x14ac:dyDescent="0.3">
      <c r="A36" s="1"/>
      <c r="B36" s="1"/>
      <c r="C36" s="1"/>
      <c r="D36" s="1"/>
      <c r="E36" s="1"/>
      <c r="F36" s="1"/>
      <c r="G36" s="1"/>
      <c r="H36" s="1"/>
      <c r="I36" s="1"/>
      <c r="J36" s="1"/>
      <c r="K36" s="1"/>
      <c r="L36" s="1"/>
    </row>
    <row r="37" spans="1:12" ht="18" customHeight="1" x14ac:dyDescent="0.3">
      <c r="A37" s="1"/>
      <c r="B37" s="1"/>
      <c r="C37" s="1"/>
      <c r="D37" s="1"/>
      <c r="E37" s="1"/>
      <c r="F37" s="1"/>
      <c r="G37" s="1"/>
      <c r="H37" s="1"/>
      <c r="I37" s="1"/>
      <c r="J37" s="1"/>
      <c r="K37" s="1"/>
      <c r="L37" s="1"/>
    </row>
    <row r="38" spans="1:12" ht="18" customHeight="1" x14ac:dyDescent="0.3">
      <c r="A38" s="1"/>
      <c r="B38" s="1"/>
      <c r="C38" s="1"/>
      <c r="D38" s="1"/>
      <c r="E38" s="1"/>
      <c r="F38" s="1"/>
      <c r="G38" s="1"/>
      <c r="H38" s="1"/>
      <c r="I38" s="1"/>
      <c r="J38" s="1"/>
      <c r="K38" s="1"/>
      <c r="L38" s="1"/>
    </row>
    <row r="39" spans="1:12" ht="18" customHeight="1" x14ac:dyDescent="0.3">
      <c r="A39" s="1"/>
      <c r="B39" s="1"/>
      <c r="C39" s="1"/>
      <c r="D39" s="1"/>
      <c r="E39" s="1"/>
      <c r="F39" s="1"/>
      <c r="G39" s="1"/>
      <c r="H39" s="1"/>
      <c r="I39" s="1"/>
      <c r="J39" s="1"/>
      <c r="K39" s="1"/>
      <c r="L39" s="1"/>
    </row>
    <row r="40" spans="1:12" ht="18" customHeight="1" x14ac:dyDescent="0.3">
      <c r="A40" s="1"/>
      <c r="B40" s="1"/>
      <c r="C40" s="1"/>
      <c r="D40" s="1"/>
      <c r="E40" s="1"/>
      <c r="F40" s="1"/>
      <c r="G40" s="1"/>
      <c r="H40" s="1"/>
      <c r="I40" s="1"/>
      <c r="J40" s="1"/>
      <c r="K40" s="1"/>
      <c r="L40" s="1"/>
    </row>
  </sheetData>
  <mergeCells count="4">
    <mergeCell ref="B27:K29"/>
    <mergeCell ref="B20:K21"/>
    <mergeCell ref="B18:K18"/>
    <mergeCell ref="B24:K24"/>
  </mergeCells>
  <pageMargins left="0.5" right="0.5" top="0.6" bottom="0.6" header="0.5" footer="0.5"/>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4AF37"/>
    <pageSetUpPr fitToPage="1"/>
  </sheetPr>
  <dimension ref="A1:K25"/>
  <sheetViews>
    <sheetView showGridLines="0" tabSelected="1" zoomScaleNormal="100" workbookViewId="0">
      <pane ySplit="4" topLeftCell="A15" activePane="bottomLeft" state="frozen"/>
      <selection pane="bottomLeft" activeCell="B23" sqref="B23"/>
    </sheetView>
  </sheetViews>
  <sheetFormatPr baseColWidth="10" defaultColWidth="8.88671875" defaultRowHeight="14.4" x14ac:dyDescent="0.3"/>
  <cols>
    <col min="1" max="1" width="24" customWidth="1"/>
    <col min="2" max="8" width="15" customWidth="1"/>
    <col min="9" max="9" width="14.88671875" bestFit="1" customWidth="1"/>
    <col min="11" max="11" width="11.21875" customWidth="1"/>
  </cols>
  <sheetData>
    <row r="1" spans="1:11" ht="23.4" customHeight="1" x14ac:dyDescent="0.45">
      <c r="C1" s="121" t="s">
        <v>0</v>
      </c>
      <c r="D1" s="110"/>
      <c r="E1" s="110"/>
      <c r="F1" s="110"/>
      <c r="G1" s="110"/>
      <c r="H1" s="110"/>
    </row>
    <row r="2" spans="1:11" x14ac:dyDescent="0.3">
      <c r="C2" s="109" t="s">
        <v>1</v>
      </c>
      <c r="D2" s="110"/>
      <c r="E2" s="110"/>
      <c r="F2" s="110"/>
      <c r="G2" s="110"/>
      <c r="H2" s="110"/>
    </row>
    <row r="5" spans="1:11" ht="25.95" customHeight="1" x14ac:dyDescent="0.3">
      <c r="A5" s="111" t="s">
        <v>2</v>
      </c>
      <c r="B5" s="112"/>
      <c r="D5" s="111" t="s">
        <v>3</v>
      </c>
      <c r="E5" s="112"/>
      <c r="G5" s="111" t="s">
        <v>4</v>
      </c>
      <c r="H5" s="112"/>
      <c r="J5" s="111" t="s">
        <v>5</v>
      </c>
      <c r="K5" s="112"/>
    </row>
    <row r="6" spans="1:11" ht="22.05" customHeight="1" x14ac:dyDescent="0.3">
      <c r="A6" s="113">
        <f>'07_Estado_Resultados_PyG'!B5</f>
        <v>61810000</v>
      </c>
      <c r="B6" s="114"/>
      <c r="D6" s="113">
        <f>'07_Estado_Resultados_PyG'!B6</f>
        <v>20644808</v>
      </c>
      <c r="E6" s="114"/>
      <c r="G6" s="113">
        <f>'07_Estado_Resultados_PyG'!B7</f>
        <v>41165192</v>
      </c>
      <c r="H6" s="114"/>
      <c r="J6" s="120">
        <f>'07_Estado_Resultados_PyG'!C7</f>
        <v>0.6659956641320175</v>
      </c>
      <c r="K6" s="114"/>
    </row>
    <row r="7" spans="1:11" ht="22.05" customHeight="1" x14ac:dyDescent="0.3">
      <c r="A7" s="115"/>
      <c r="B7" s="116"/>
      <c r="D7" s="115"/>
      <c r="E7" s="116"/>
      <c r="G7" s="115"/>
      <c r="H7" s="116"/>
      <c r="J7" s="115"/>
      <c r="K7" s="116"/>
    </row>
    <row r="9" spans="1:11" ht="25.95" customHeight="1" x14ac:dyDescent="0.3">
      <c r="A9" s="111" t="s">
        <v>6</v>
      </c>
      <c r="B9" s="112"/>
      <c r="D9" s="111" t="s">
        <v>7</v>
      </c>
      <c r="E9" s="112"/>
      <c r="G9" s="111" t="s">
        <v>8</v>
      </c>
      <c r="H9" s="112"/>
      <c r="J9" s="111" t="s">
        <v>9</v>
      </c>
      <c r="K9" s="112"/>
    </row>
    <row r="10" spans="1:11" ht="22.05" customHeight="1" x14ac:dyDescent="0.3">
      <c r="A10" s="113">
        <f>'07_Estado_Resultados_PyG'!B8</f>
        <v>3599105</v>
      </c>
      <c r="B10" s="114"/>
      <c r="D10" s="113">
        <f>'07_Estado_Resultados_PyG'!B9</f>
        <v>37566087</v>
      </c>
      <c r="E10" s="114"/>
      <c r="G10" s="113">
        <f>'07_Estado_Resultados_PyG'!B11</f>
        <v>5252205.6519999998</v>
      </c>
      <c r="H10" s="114"/>
      <c r="J10" s="113">
        <f>'07_Estado_Resultados_PyG'!B10</f>
        <v>3655294.5500000003</v>
      </c>
      <c r="K10" s="114"/>
    </row>
    <row r="11" spans="1:11" ht="22.05" customHeight="1" x14ac:dyDescent="0.3">
      <c r="A11" s="115"/>
      <c r="B11" s="116"/>
      <c r="D11" s="115"/>
      <c r="E11" s="116"/>
      <c r="G11" s="115"/>
      <c r="H11" s="116"/>
      <c r="J11" s="115"/>
      <c r="K11" s="116"/>
    </row>
    <row r="13" spans="1:11" ht="25.95" customHeight="1" x14ac:dyDescent="0.3">
      <c r="A13" s="111" t="s">
        <v>10</v>
      </c>
      <c r="B13" s="112"/>
      <c r="D13" s="111" t="s">
        <v>11</v>
      </c>
      <c r="E13" s="112"/>
    </row>
    <row r="14" spans="1:11" ht="22.05" customHeight="1" x14ac:dyDescent="0.3">
      <c r="A14" s="117">
        <f>'07_Estado_Resultados_PyG'!B12</f>
        <v>28658586.798000004</v>
      </c>
      <c r="B14" s="114"/>
      <c r="D14" s="119">
        <f>'07_Estado_Resultados_PyG'!C12</f>
        <v>0.46365615269373894</v>
      </c>
      <c r="E14" s="114"/>
    </row>
    <row r="15" spans="1:11" ht="22.05" customHeight="1" x14ac:dyDescent="0.3">
      <c r="A15" s="115"/>
      <c r="B15" s="116"/>
      <c r="D15" s="115"/>
      <c r="E15" s="116"/>
    </row>
    <row r="17" spans="1:9" ht="17.399999999999999" customHeight="1" x14ac:dyDescent="0.35">
      <c r="A17" s="118" t="s">
        <v>12</v>
      </c>
      <c r="B17" s="110"/>
      <c r="C17" s="110"/>
      <c r="D17" s="110"/>
      <c r="E17" s="110"/>
      <c r="F17" s="110"/>
      <c r="G17" s="110"/>
      <c r="H17" s="110"/>
      <c r="I17" s="110"/>
    </row>
    <row r="18" spans="1:9" x14ac:dyDescent="0.3">
      <c r="A18" s="109" t="s">
        <v>13</v>
      </c>
      <c r="B18" s="110"/>
      <c r="C18" s="110"/>
      <c r="D18" s="110"/>
      <c r="E18" s="110"/>
      <c r="F18" s="110"/>
      <c r="G18" s="110"/>
      <c r="H18" s="110"/>
      <c r="I18" s="110"/>
    </row>
    <row r="20" spans="1:9" ht="30" customHeight="1" x14ac:dyDescent="0.3">
      <c r="A20" s="3" t="s">
        <v>14</v>
      </c>
      <c r="B20" s="3" t="s">
        <v>15</v>
      </c>
      <c r="C20" s="3" t="s">
        <v>16</v>
      </c>
      <c r="D20" s="3" t="s">
        <v>17</v>
      </c>
      <c r="E20" s="3" t="s">
        <v>18</v>
      </c>
      <c r="F20" s="3" t="s">
        <v>19</v>
      </c>
      <c r="G20" s="3" t="s">
        <v>20</v>
      </c>
      <c r="H20" s="3" t="s">
        <v>21</v>
      </c>
      <c r="I20" s="3" t="s">
        <v>5</v>
      </c>
    </row>
    <row r="21" spans="1:9" ht="19.95" customHeight="1" x14ac:dyDescent="0.3">
      <c r="A21" s="4" t="s">
        <v>22</v>
      </c>
      <c r="B21" s="5">
        <v>15</v>
      </c>
      <c r="C21" s="6">
        <f>ROUND(B21*'02_Costos_Directos_COGS'!C19,0)</f>
        <v>7</v>
      </c>
      <c r="D21" s="6">
        <f>ROUND(B21*'02_Costos_Directos_COGS'!C20,0)</f>
        <v>6</v>
      </c>
      <c r="E21" s="6">
        <f>B21-C21-D21</f>
        <v>2</v>
      </c>
      <c r="F21" s="98">
        <f>C21*'02_Costos_Directos_COGS'!B5+D21*'02_Costos_Directos_COGS'!C5+E21*'02_Costos_Directos_COGS'!D5</f>
        <v>8120000</v>
      </c>
      <c r="G21" s="98">
        <f>C21*'02_Costos_Directos_COGS'!B11+D21*'02_Costos_Directos_COGS'!C11+E21*'02_Costos_Directos_COGS'!D11</f>
        <v>2667604</v>
      </c>
      <c r="H21" s="98">
        <f>F21-G21</f>
        <v>5452396</v>
      </c>
      <c r="I21" s="101">
        <f>H21/F21</f>
        <v>0.67147733990147784</v>
      </c>
    </row>
    <row r="22" spans="1:9" ht="19.95" customHeight="1" x14ac:dyDescent="0.3">
      <c r="A22" s="8" t="s">
        <v>23</v>
      </c>
      <c r="B22" s="9">
        <v>45</v>
      </c>
      <c r="C22" s="10">
        <f>ROUND(B22*'02_Costos_Directos_COGS'!C19,0)</f>
        <v>21</v>
      </c>
      <c r="D22" s="10">
        <f>ROUND(B22*'02_Costos_Directos_COGS'!C20,0)</f>
        <v>18</v>
      </c>
      <c r="E22" s="10">
        <f>B22-C22-D22</f>
        <v>6</v>
      </c>
      <c r="F22" s="99">
        <f>C22*'02_Costos_Directos_COGS'!B5+D22*'02_Costos_Directos_COGS'!C5+E22*'02_Costos_Directos_COGS'!D5</f>
        <v>24360000</v>
      </c>
      <c r="G22" s="99">
        <f>C22*'02_Costos_Directos_COGS'!B11+D22*'02_Costos_Directos_COGS'!C11+E22*'02_Costos_Directos_COGS'!D11</f>
        <v>8002812</v>
      </c>
      <c r="H22" s="99">
        <f>F22-G22</f>
        <v>16357188</v>
      </c>
      <c r="I22" s="102">
        <f>H22/F22</f>
        <v>0.67147733990147784</v>
      </c>
    </row>
    <row r="23" spans="1:9" ht="19.95" customHeight="1" x14ac:dyDescent="0.3">
      <c r="A23" s="12" t="s">
        <v>24</v>
      </c>
      <c r="B23" s="13">
        <f>'02_Costos_Directos_COGS'!B22</f>
        <v>108</v>
      </c>
      <c r="C23" s="13">
        <f>'02_Costos_Directos_COGS'!B19</f>
        <v>50</v>
      </c>
      <c r="D23" s="13">
        <f>'02_Costos_Directos_COGS'!B20</f>
        <v>42</v>
      </c>
      <c r="E23" s="13">
        <f>'02_Costos_Directos_COGS'!B21</f>
        <v>16</v>
      </c>
      <c r="F23" s="100">
        <f>'02_Costos_Directos_COGS'!E22</f>
        <v>61810000</v>
      </c>
      <c r="G23" s="100">
        <f>'02_Costos_Directos_COGS'!G22</f>
        <v>20644808</v>
      </c>
      <c r="H23" s="100">
        <f>'02_Costos_Directos_COGS'!H22</f>
        <v>41165192</v>
      </c>
      <c r="I23" s="103">
        <f>'02_Costos_Directos_COGS'!I22</f>
        <v>0.6659956641320175</v>
      </c>
    </row>
    <row r="25" spans="1:9" x14ac:dyDescent="0.3">
      <c r="A25" s="109" t="s">
        <v>25</v>
      </c>
      <c r="B25" s="110"/>
      <c r="C25" s="110"/>
      <c r="D25" s="110"/>
      <c r="E25" s="110"/>
      <c r="F25" s="110"/>
      <c r="G25" s="110"/>
      <c r="H25" s="110"/>
      <c r="I25" s="110"/>
    </row>
  </sheetData>
  <mergeCells count="25">
    <mergeCell ref="C1:H1"/>
    <mergeCell ref="C2:H2"/>
    <mergeCell ref="D13:E13"/>
    <mergeCell ref="A17:I17"/>
    <mergeCell ref="A10:B11"/>
    <mergeCell ref="D14:E15"/>
    <mergeCell ref="D10:E11"/>
    <mergeCell ref="A5:B5"/>
    <mergeCell ref="G5:H5"/>
    <mergeCell ref="D6:E7"/>
    <mergeCell ref="D9:E9"/>
    <mergeCell ref="D5:E5"/>
    <mergeCell ref="G10:H11"/>
    <mergeCell ref="A6:B7"/>
    <mergeCell ref="A13:B13"/>
    <mergeCell ref="A9:B9"/>
    <mergeCell ref="G9:H9"/>
    <mergeCell ref="A25:I25"/>
    <mergeCell ref="J5:K5"/>
    <mergeCell ref="G6:H7"/>
    <mergeCell ref="A18:I18"/>
    <mergeCell ref="A14:B15"/>
    <mergeCell ref="J9:K9"/>
    <mergeCell ref="J10:K11"/>
    <mergeCell ref="J6:K7"/>
  </mergeCells>
  <pageMargins left="0.5" right="0.5" top="0.6" bottom="0.6" header="0.5" footer="0.5"/>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5612E"/>
    <pageSetUpPr fitToPage="1"/>
  </sheetPr>
  <dimension ref="A1:I24"/>
  <sheetViews>
    <sheetView showGridLines="0" workbookViewId="0">
      <pane ySplit="4" topLeftCell="A24" activePane="bottomLeft" state="frozen"/>
      <selection pane="bottomLeft" sqref="A1:F1"/>
    </sheetView>
  </sheetViews>
  <sheetFormatPr baseColWidth="10" defaultColWidth="8.88671875" defaultRowHeight="14.4" x14ac:dyDescent="0.3"/>
  <cols>
    <col min="1" max="1" width="46" customWidth="1"/>
    <col min="2" max="2" width="15" customWidth="1"/>
    <col min="3" max="3" width="12" customWidth="1"/>
    <col min="4" max="5" width="16" customWidth="1"/>
    <col min="6" max="6" width="15" customWidth="1"/>
    <col min="7" max="8" width="16" customWidth="1"/>
    <col min="9" max="9" width="14" customWidth="1"/>
  </cols>
  <sheetData>
    <row r="1" spans="1:9" ht="19.8" customHeight="1" x14ac:dyDescent="0.4">
      <c r="A1" s="126" t="s">
        <v>30</v>
      </c>
      <c r="B1" s="110"/>
      <c r="C1" s="110"/>
      <c r="D1" s="110"/>
      <c r="E1" s="110"/>
      <c r="F1" s="110"/>
    </row>
    <row r="2" spans="1:9" x14ac:dyDescent="0.3">
      <c r="A2" s="109" t="s">
        <v>31</v>
      </c>
      <c r="B2" s="110"/>
      <c r="C2" s="110"/>
      <c r="D2" s="110"/>
      <c r="E2" s="110"/>
      <c r="F2" s="110"/>
    </row>
    <row r="4" spans="1:9" ht="30" customHeight="1" x14ac:dyDescent="0.3">
      <c r="A4" s="3" t="s">
        <v>32</v>
      </c>
      <c r="B4" s="3" t="s">
        <v>16</v>
      </c>
      <c r="C4" s="3" t="s">
        <v>17</v>
      </c>
      <c r="D4" s="3" t="s">
        <v>18</v>
      </c>
    </row>
    <row r="5" spans="1:9" x14ac:dyDescent="0.3">
      <c r="A5" s="14" t="s">
        <v>33</v>
      </c>
      <c r="B5" s="9">
        <v>150000</v>
      </c>
      <c r="C5" s="9">
        <v>375000</v>
      </c>
      <c r="D5" s="9">
        <v>2410000</v>
      </c>
    </row>
    <row r="6" spans="1:9" ht="27.6" customHeight="1" x14ac:dyDescent="0.3">
      <c r="A6" s="15" t="s">
        <v>34</v>
      </c>
      <c r="B6" s="5">
        <v>0</v>
      </c>
      <c r="C6" s="5">
        <v>51124</v>
      </c>
      <c r="D6" s="5">
        <v>511240</v>
      </c>
    </row>
    <row r="7" spans="1:9" x14ac:dyDescent="0.3">
      <c r="A7" s="14" t="s">
        <v>35</v>
      </c>
      <c r="B7" s="9">
        <v>242</v>
      </c>
      <c r="C7" s="9">
        <v>242</v>
      </c>
      <c r="D7" s="9">
        <v>242</v>
      </c>
    </row>
    <row r="8" spans="1:9" ht="27.6" customHeight="1" x14ac:dyDescent="0.3">
      <c r="A8" s="15" t="s">
        <v>36</v>
      </c>
      <c r="B8" s="16">
        <f>ROUND(B5*0.0299+900,0)</f>
        <v>5385</v>
      </c>
      <c r="C8" s="16">
        <f>ROUND(C5*0.0299+900,0)</f>
        <v>12113</v>
      </c>
      <c r="D8" s="16">
        <f>ROUND(D5*0.0299+900,0)</f>
        <v>72959</v>
      </c>
    </row>
    <row r="9" spans="1:9" ht="27.6" customHeight="1" x14ac:dyDescent="0.3">
      <c r="A9" s="14" t="s">
        <v>37</v>
      </c>
      <c r="B9" s="9">
        <v>2253</v>
      </c>
      <c r="C9" s="9">
        <v>25408</v>
      </c>
      <c r="D9" s="9">
        <v>233941</v>
      </c>
    </row>
    <row r="10" spans="1:9" ht="27.6" customHeight="1" x14ac:dyDescent="0.3">
      <c r="A10" s="15" t="s">
        <v>38</v>
      </c>
      <c r="B10" s="5">
        <v>1566</v>
      </c>
      <c r="C10" s="5">
        <v>17671</v>
      </c>
      <c r="D10" s="5">
        <v>162685</v>
      </c>
    </row>
    <row r="11" spans="1:9" x14ac:dyDescent="0.3">
      <c r="A11" s="17" t="s">
        <v>39</v>
      </c>
      <c r="B11" s="18">
        <f>SUM(B6:B10)</f>
        <v>9446</v>
      </c>
      <c r="C11" s="18">
        <f>SUM(C6:C10)</f>
        <v>106558</v>
      </c>
      <c r="D11" s="18">
        <f>SUM(D6:D10)</f>
        <v>981067</v>
      </c>
    </row>
    <row r="12" spans="1:9" x14ac:dyDescent="0.3">
      <c r="A12" s="19" t="s">
        <v>40</v>
      </c>
      <c r="B12" s="20">
        <f>(B5-B11)/B5</f>
        <v>0.93702666666666667</v>
      </c>
      <c r="C12" s="20">
        <f>(C5-C11)/C5</f>
        <v>0.71584533333333333</v>
      </c>
      <c r="D12" s="20">
        <f>(D5-D11)/D5</f>
        <v>0.59291825726141079</v>
      </c>
    </row>
    <row r="14" spans="1:9" x14ac:dyDescent="0.3">
      <c r="A14" s="109" t="s">
        <v>41</v>
      </c>
      <c r="B14" s="110"/>
      <c r="C14" s="110"/>
      <c r="D14" s="110"/>
      <c r="E14" s="110"/>
      <c r="F14" s="110"/>
    </row>
    <row r="16" spans="1:9" ht="17.399999999999999" customHeight="1" x14ac:dyDescent="0.35">
      <c r="A16" s="118" t="s">
        <v>42</v>
      </c>
      <c r="B16" s="110"/>
      <c r="C16" s="110"/>
      <c r="D16" s="110"/>
      <c r="E16" s="110"/>
      <c r="F16" s="110"/>
      <c r="G16" s="110"/>
      <c r="H16" s="110"/>
      <c r="I16" s="110"/>
    </row>
    <row r="18" spans="1:9" ht="30" customHeight="1" x14ac:dyDescent="0.3">
      <c r="A18" s="3" t="s">
        <v>43</v>
      </c>
      <c r="B18" s="3" t="s">
        <v>44</v>
      </c>
      <c r="C18" s="3" t="s">
        <v>45</v>
      </c>
      <c r="D18" s="3" t="s">
        <v>46</v>
      </c>
      <c r="E18" s="3" t="s">
        <v>47</v>
      </c>
      <c r="F18" s="3" t="s">
        <v>48</v>
      </c>
      <c r="G18" s="3" t="s">
        <v>49</v>
      </c>
      <c r="H18" s="3" t="s">
        <v>50</v>
      </c>
      <c r="I18" s="3" t="s">
        <v>51</v>
      </c>
    </row>
    <row r="19" spans="1:9" x14ac:dyDescent="0.3">
      <c r="A19" s="4" t="s">
        <v>16</v>
      </c>
      <c r="B19" s="5">
        <v>50</v>
      </c>
      <c r="C19" s="7">
        <f>B19/$B$22</f>
        <v>0.46296296296296297</v>
      </c>
      <c r="D19" s="21">
        <f>B5</f>
        <v>150000</v>
      </c>
      <c r="E19" s="6">
        <f>B19*D19</f>
        <v>7500000</v>
      </c>
      <c r="F19" s="6">
        <f>B11</f>
        <v>9446</v>
      </c>
      <c r="G19" s="6">
        <f>B19*F19</f>
        <v>472300</v>
      </c>
      <c r="H19" s="6">
        <f>E19-G19</f>
        <v>7027700</v>
      </c>
      <c r="I19" s="7">
        <f>H19/E19</f>
        <v>0.93702666666666667</v>
      </c>
    </row>
    <row r="20" spans="1:9" x14ac:dyDescent="0.3">
      <c r="A20" s="8" t="s">
        <v>17</v>
      </c>
      <c r="B20" s="9">
        <v>42</v>
      </c>
      <c r="C20" s="11">
        <f>B20/$B$22</f>
        <v>0.3888888888888889</v>
      </c>
      <c r="D20" s="22">
        <f>C5</f>
        <v>375000</v>
      </c>
      <c r="E20" s="10">
        <f>B20*D20</f>
        <v>15750000</v>
      </c>
      <c r="F20" s="10">
        <f>C11</f>
        <v>106558</v>
      </c>
      <c r="G20" s="10">
        <f>B20*F20</f>
        <v>4475436</v>
      </c>
      <c r="H20" s="10">
        <f>E20-G20</f>
        <v>11274564</v>
      </c>
      <c r="I20" s="11">
        <f>H20/E20</f>
        <v>0.71584533333333333</v>
      </c>
    </row>
    <row r="21" spans="1:9" x14ac:dyDescent="0.3">
      <c r="A21" s="4" t="s">
        <v>18</v>
      </c>
      <c r="B21" s="5">
        <v>16</v>
      </c>
      <c r="C21" s="7">
        <f>B21/$B$22</f>
        <v>0.14814814814814814</v>
      </c>
      <c r="D21" s="21">
        <f>D5</f>
        <v>2410000</v>
      </c>
      <c r="E21" s="6">
        <f>B21*D21</f>
        <v>38560000</v>
      </c>
      <c r="F21" s="6">
        <f>D11</f>
        <v>981067</v>
      </c>
      <c r="G21" s="6">
        <f>B21*F21</f>
        <v>15697072</v>
      </c>
      <c r="H21" s="6">
        <f>E21-G21</f>
        <v>22862928</v>
      </c>
      <c r="I21" s="7">
        <f>H21/E21</f>
        <v>0.59291825726141079</v>
      </c>
    </row>
    <row r="22" spans="1:9" x14ac:dyDescent="0.3">
      <c r="A22" s="17" t="s">
        <v>52</v>
      </c>
      <c r="B22" s="18">
        <f>SUM(B19:B21)</f>
        <v>108</v>
      </c>
      <c r="C22" s="23">
        <f>SUM(C19:C21)</f>
        <v>1</v>
      </c>
      <c r="D22" s="17" t="s">
        <v>53</v>
      </c>
      <c r="E22" s="18">
        <f>SUM(E19:E21)</f>
        <v>61810000</v>
      </c>
      <c r="F22" s="17" t="s">
        <v>53</v>
      </c>
      <c r="G22" s="18">
        <f>SUM(G19:G21)</f>
        <v>20644808</v>
      </c>
      <c r="H22" s="18">
        <f>SUM(H19:H21)</f>
        <v>41165192</v>
      </c>
      <c r="I22" s="23">
        <f>H22/E22</f>
        <v>0.6659956641320175</v>
      </c>
    </row>
    <row r="24" spans="1:9" x14ac:dyDescent="0.3">
      <c r="A24" s="109" t="s">
        <v>54</v>
      </c>
      <c r="B24" s="110"/>
      <c r="C24" s="110"/>
      <c r="D24" s="110"/>
      <c r="E24" s="110"/>
      <c r="F24" s="110"/>
      <c r="G24" s="110"/>
      <c r="H24" s="110"/>
      <c r="I24" s="110"/>
    </row>
  </sheetData>
  <mergeCells count="5">
    <mergeCell ref="A2:F2"/>
    <mergeCell ref="A14:F14"/>
    <mergeCell ref="A1:F1"/>
    <mergeCell ref="A24:I24"/>
    <mergeCell ref="A16:I16"/>
  </mergeCells>
  <pageMargins left="0.5" right="0.5" top="0.6" bottom="0.6"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4AF37"/>
    <pageSetUpPr fitToPage="1"/>
  </sheetPr>
  <dimension ref="A1:E13"/>
  <sheetViews>
    <sheetView showGridLines="0" workbookViewId="0">
      <pane ySplit="4" topLeftCell="A5" activePane="bottomLeft" state="frozen"/>
      <selection pane="bottomLeft" sqref="A1:E1"/>
    </sheetView>
  </sheetViews>
  <sheetFormatPr baseColWidth="10" defaultColWidth="8.88671875" defaultRowHeight="14.4" x14ac:dyDescent="0.3"/>
  <cols>
    <col min="1" max="2" width="42" customWidth="1"/>
    <col min="3" max="3" width="18" customWidth="1"/>
    <col min="4" max="4" width="20" customWidth="1"/>
    <col min="5" max="5" width="18" customWidth="1"/>
  </cols>
  <sheetData>
    <row r="1" spans="1:5" ht="18" customHeight="1" x14ac:dyDescent="0.35">
      <c r="A1" s="127" t="s">
        <v>55</v>
      </c>
      <c r="B1" s="110"/>
      <c r="C1" s="110"/>
      <c r="D1" s="110"/>
      <c r="E1" s="110"/>
    </row>
    <row r="2" spans="1:5" x14ac:dyDescent="0.3">
      <c r="A2" s="109" t="s">
        <v>56</v>
      </c>
      <c r="B2" s="110"/>
      <c r="C2" s="110"/>
      <c r="D2" s="110"/>
      <c r="E2" s="110"/>
    </row>
    <row r="4" spans="1:5" ht="30" customHeight="1" x14ac:dyDescent="0.3">
      <c r="A4" s="3" t="s">
        <v>57</v>
      </c>
      <c r="B4" s="3" t="s">
        <v>58</v>
      </c>
      <c r="C4" s="3" t="s">
        <v>59</v>
      </c>
      <c r="D4" s="3" t="s">
        <v>60</v>
      </c>
      <c r="E4" s="3" t="s">
        <v>61</v>
      </c>
    </row>
    <row r="5" spans="1:5" ht="34.049999999999997" customHeight="1" x14ac:dyDescent="0.3">
      <c r="A5" s="15" t="s">
        <v>62</v>
      </c>
      <c r="B5" s="24" t="s">
        <v>63</v>
      </c>
      <c r="C5" s="6">
        <f>'02_Costos_Directos_COGS'!C6</f>
        <v>51124</v>
      </c>
      <c r="D5" s="6">
        <f>'02_Costos_Directos_COGS'!B20*1+'02_Costos_Directos_COGS'!B21*10</f>
        <v>202</v>
      </c>
      <c r="E5" s="6">
        <f>C5*D5</f>
        <v>10327048</v>
      </c>
    </row>
    <row r="6" spans="1:5" ht="34.049999999999997" customHeight="1" x14ac:dyDescent="0.3">
      <c r="A6" s="14" t="s">
        <v>35</v>
      </c>
      <c r="B6" s="25" t="s">
        <v>64</v>
      </c>
      <c r="C6" s="10">
        <f>'02_Costos_Directos_COGS'!B7</f>
        <v>242</v>
      </c>
      <c r="D6" s="10">
        <f>'02_Costos_Directos_COGS'!B22</f>
        <v>108</v>
      </c>
      <c r="E6" s="10">
        <f>C6*D6</f>
        <v>26136</v>
      </c>
    </row>
    <row r="7" spans="1:5" ht="34.049999999999997" customHeight="1" x14ac:dyDescent="0.3">
      <c r="A7" s="15" t="s">
        <v>36</v>
      </c>
      <c r="B7" s="24" t="s">
        <v>65</v>
      </c>
      <c r="C7" s="6">
        <f>('02_Costos_Directos_COGS'!B8*'02_Costos_Directos_COGS'!B19+'02_Costos_Directos_COGS'!C8*'02_Costos_Directos_COGS'!B20+'02_Costos_Directos_COGS'!D8*'02_Costos_Directos_COGS'!B21)/D7</f>
        <v>18012.407407407409</v>
      </c>
      <c r="D7" s="6">
        <f>'02_Costos_Directos_COGS'!B22</f>
        <v>108</v>
      </c>
      <c r="E7" s="6">
        <f>C7*D7</f>
        <v>1945340.0000000002</v>
      </c>
    </row>
    <row r="8" spans="1:5" ht="34.049999999999997" customHeight="1" x14ac:dyDescent="0.3">
      <c r="A8" s="14" t="s">
        <v>37</v>
      </c>
      <c r="B8" s="25" t="s">
        <v>66</v>
      </c>
      <c r="C8" s="10">
        <f>('02_Costos_Directos_COGS'!B9*'02_Costos_Directos_COGS'!B19+'02_Costos_Directos_COGS'!C9*'02_Costos_Directos_COGS'!B20+'02_Costos_Directos_COGS'!D9*'02_Costos_Directos_COGS'!B21)/D8</f>
        <v>45581.870370370372</v>
      </c>
      <c r="D8" s="10">
        <f>'02_Costos_Directos_COGS'!B22</f>
        <v>108</v>
      </c>
      <c r="E8" s="10">
        <f>C8*D8</f>
        <v>4922842</v>
      </c>
    </row>
    <row r="9" spans="1:5" ht="34.049999999999997" customHeight="1" x14ac:dyDescent="0.3">
      <c r="A9" s="15" t="s">
        <v>38</v>
      </c>
      <c r="B9" s="24" t="s">
        <v>66</v>
      </c>
      <c r="C9" s="6">
        <f>('02_Costos_Directos_COGS'!B10*'02_Costos_Directos_COGS'!B19+'02_Costos_Directos_COGS'!C10*'02_Costos_Directos_COGS'!B20+'02_Costos_Directos_COGS'!D10*'02_Costos_Directos_COGS'!B21)/D9</f>
        <v>31698.537037037036</v>
      </c>
      <c r="D9" s="6">
        <f>'02_Costos_Directos_COGS'!B22</f>
        <v>108</v>
      </c>
      <c r="E9" s="6">
        <f>C9*D9</f>
        <v>3423442</v>
      </c>
    </row>
    <row r="10" spans="1:5" x14ac:dyDescent="0.3">
      <c r="A10" s="17" t="s">
        <v>67</v>
      </c>
      <c r="B10" s="17"/>
      <c r="C10" s="17"/>
      <c r="D10" s="17"/>
      <c r="E10" s="18">
        <f>SUM(E5:E9)</f>
        <v>20644808</v>
      </c>
    </row>
    <row r="11" spans="1:5" x14ac:dyDescent="0.3">
      <c r="A11" s="26" t="s">
        <v>68</v>
      </c>
      <c r="E11" s="27">
        <f>E10-'02_Costos_Directos_COGS'!G22</f>
        <v>0</v>
      </c>
    </row>
    <row r="13" spans="1:5" x14ac:dyDescent="0.3">
      <c r="A13" s="109" t="s">
        <v>31</v>
      </c>
      <c r="B13" s="110"/>
      <c r="C13" s="110"/>
      <c r="D13" s="110"/>
      <c r="E13" s="110"/>
    </row>
  </sheetData>
  <mergeCells count="3">
    <mergeCell ref="A2:E2"/>
    <mergeCell ref="A1:E1"/>
    <mergeCell ref="A13:E13"/>
  </mergeCells>
  <pageMargins left="0.5" right="0.5" top="0.6" bottom="0.6"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5612E"/>
    <pageSetUpPr fitToPage="1"/>
  </sheetPr>
  <dimension ref="A1:D15"/>
  <sheetViews>
    <sheetView showGridLines="0" workbookViewId="0">
      <pane ySplit="4" topLeftCell="A5" activePane="bottomLeft" state="frozen"/>
      <selection pane="bottomLeft" sqref="A1:D1"/>
    </sheetView>
  </sheetViews>
  <sheetFormatPr baseColWidth="10" defaultColWidth="8.88671875" defaultRowHeight="14.4" x14ac:dyDescent="0.3"/>
  <cols>
    <col min="1" max="1" width="36" customWidth="1"/>
    <col min="2" max="2" width="24" customWidth="1"/>
    <col min="3" max="3" width="18" customWidth="1"/>
    <col min="4" max="4" width="50" customWidth="1"/>
  </cols>
  <sheetData>
    <row r="1" spans="1:4" ht="19.8" customHeight="1" x14ac:dyDescent="0.4">
      <c r="A1" s="126" t="s">
        <v>69</v>
      </c>
      <c r="B1" s="110"/>
      <c r="C1" s="110"/>
      <c r="D1" s="110"/>
    </row>
    <row r="2" spans="1:4" x14ac:dyDescent="0.3">
      <c r="A2" s="109" t="s">
        <v>70</v>
      </c>
      <c r="B2" s="110"/>
      <c r="C2" s="110"/>
      <c r="D2" s="110"/>
    </row>
    <row r="4" spans="1:4" ht="30" customHeight="1" x14ac:dyDescent="0.3">
      <c r="A4" s="3" t="s">
        <v>71</v>
      </c>
      <c r="B4" s="3" t="s">
        <v>72</v>
      </c>
      <c r="C4" s="3" t="s">
        <v>73</v>
      </c>
      <c r="D4" s="3" t="s">
        <v>74</v>
      </c>
    </row>
    <row r="5" spans="1:4" ht="30" customHeight="1" x14ac:dyDescent="0.3">
      <c r="A5" s="15" t="s">
        <v>75</v>
      </c>
      <c r="B5" s="4" t="s">
        <v>76</v>
      </c>
      <c r="C5" s="5">
        <v>655401</v>
      </c>
      <c r="D5" s="24" t="s">
        <v>77</v>
      </c>
    </row>
    <row r="6" spans="1:4" ht="30" customHeight="1" x14ac:dyDescent="0.3">
      <c r="A6" s="14" t="s">
        <v>78</v>
      </c>
      <c r="B6" s="8" t="s">
        <v>79</v>
      </c>
      <c r="C6" s="9">
        <v>300000</v>
      </c>
      <c r="D6" s="25" t="s">
        <v>80</v>
      </c>
    </row>
    <row r="7" spans="1:4" ht="30" customHeight="1" x14ac:dyDescent="0.3">
      <c r="A7" s="15" t="s">
        <v>81</v>
      </c>
      <c r="B7" s="4" t="s">
        <v>82</v>
      </c>
      <c r="C7" s="5">
        <v>630000</v>
      </c>
      <c r="D7" s="24" t="s">
        <v>83</v>
      </c>
    </row>
    <row r="8" spans="1:4" ht="30" customHeight="1" x14ac:dyDescent="0.3">
      <c r="A8" s="14" t="s">
        <v>84</v>
      </c>
      <c r="B8" s="8" t="s">
        <v>85</v>
      </c>
      <c r="C8" s="9">
        <v>630000</v>
      </c>
      <c r="D8" s="25" t="s">
        <v>86</v>
      </c>
    </row>
    <row r="9" spans="1:4" ht="30" customHeight="1" x14ac:dyDescent="0.3">
      <c r="A9" s="15" t="s">
        <v>87</v>
      </c>
      <c r="B9" s="4" t="s">
        <v>88</v>
      </c>
      <c r="C9" s="5">
        <v>67059</v>
      </c>
      <c r="D9" s="24" t="s">
        <v>89</v>
      </c>
    </row>
    <row r="10" spans="1:4" ht="30" customHeight="1" x14ac:dyDescent="0.3">
      <c r="A10" s="14" t="s">
        <v>90</v>
      </c>
      <c r="B10" s="8" t="s">
        <v>91</v>
      </c>
      <c r="C10" s="9">
        <v>500000</v>
      </c>
      <c r="D10" s="25" t="s">
        <v>92</v>
      </c>
    </row>
    <row r="11" spans="1:4" ht="30" customHeight="1" x14ac:dyDescent="0.3">
      <c r="A11" s="15" t="s">
        <v>93</v>
      </c>
      <c r="B11" s="4" t="s">
        <v>94</v>
      </c>
      <c r="C11" s="5">
        <v>60000</v>
      </c>
      <c r="D11" s="24" t="s">
        <v>95</v>
      </c>
    </row>
    <row r="12" spans="1:4" ht="30" customHeight="1" x14ac:dyDescent="0.3">
      <c r="A12" s="14" t="s">
        <v>96</v>
      </c>
      <c r="B12" s="8" t="s">
        <v>53</v>
      </c>
      <c r="C12" s="9">
        <v>756645</v>
      </c>
      <c r="D12" s="25" t="s">
        <v>97</v>
      </c>
    </row>
    <row r="13" spans="1:4" x14ac:dyDescent="0.3">
      <c r="A13" s="17" t="s">
        <v>98</v>
      </c>
      <c r="B13" s="17"/>
      <c r="C13" s="18">
        <f>SUM(C5:C12)</f>
        <v>3599105</v>
      </c>
      <c r="D13" s="17"/>
    </row>
    <row r="15" spans="1:4" x14ac:dyDescent="0.3">
      <c r="A15" s="109" t="s">
        <v>31</v>
      </c>
      <c r="B15" s="110"/>
      <c r="C15" s="110"/>
      <c r="D15" s="110"/>
    </row>
  </sheetData>
  <mergeCells count="3">
    <mergeCell ref="A1:D1"/>
    <mergeCell ref="A2:D2"/>
    <mergeCell ref="A15:D15"/>
  </mergeCells>
  <pageMargins left="0.5" right="0.5" top="0.6" bottom="0.6"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4AF37"/>
    <pageSetUpPr fitToPage="1"/>
  </sheetPr>
  <dimension ref="A1:F13"/>
  <sheetViews>
    <sheetView showGridLines="0" workbookViewId="0">
      <pane ySplit="4" topLeftCell="A5" activePane="bottomLeft" state="frozen"/>
      <selection pane="bottomLeft" sqref="A1:F1"/>
    </sheetView>
  </sheetViews>
  <sheetFormatPr baseColWidth="10" defaultColWidth="8.88671875" defaultRowHeight="14.4" x14ac:dyDescent="0.3"/>
  <cols>
    <col min="1" max="1" width="40" customWidth="1"/>
    <col min="2" max="2" width="18" customWidth="1"/>
    <col min="3" max="3" width="12" customWidth="1"/>
    <col min="4" max="4" width="24" customWidth="1"/>
    <col min="5" max="5" width="20" customWidth="1"/>
    <col min="6" max="6" width="46" customWidth="1"/>
  </cols>
  <sheetData>
    <row r="1" spans="1:6" ht="18" customHeight="1" x14ac:dyDescent="0.35">
      <c r="A1" s="127" t="s">
        <v>99</v>
      </c>
      <c r="B1" s="110"/>
      <c r="C1" s="110"/>
      <c r="D1" s="110"/>
      <c r="E1" s="110"/>
      <c r="F1" s="110"/>
    </row>
    <row r="2" spans="1:6" x14ac:dyDescent="0.3">
      <c r="A2" s="109" t="s">
        <v>100</v>
      </c>
      <c r="B2" s="110"/>
      <c r="C2" s="110"/>
      <c r="D2" s="110"/>
      <c r="E2" s="110"/>
      <c r="F2" s="110"/>
    </row>
    <row r="4" spans="1:6" ht="30" customHeight="1" x14ac:dyDescent="0.3">
      <c r="A4" s="3" t="s">
        <v>101</v>
      </c>
      <c r="B4" s="3" t="s">
        <v>102</v>
      </c>
      <c r="C4" s="3" t="s">
        <v>103</v>
      </c>
      <c r="D4" s="3" t="s">
        <v>104</v>
      </c>
      <c r="E4" s="3" t="s">
        <v>105</v>
      </c>
      <c r="F4" s="3" t="s">
        <v>106</v>
      </c>
    </row>
    <row r="5" spans="1:6" ht="31.95" customHeight="1" x14ac:dyDescent="0.3">
      <c r="A5" s="15" t="s">
        <v>107</v>
      </c>
      <c r="B5" s="4" t="s">
        <v>108</v>
      </c>
      <c r="C5" s="28">
        <v>8.3000000000000004E-2</v>
      </c>
      <c r="D5" s="29" t="s">
        <v>109</v>
      </c>
      <c r="E5" s="16">
        <f>'02_Costos_Directos_COGS'!E22*C5</f>
        <v>5130230</v>
      </c>
      <c r="F5" s="24" t="s">
        <v>110</v>
      </c>
    </row>
    <row r="6" spans="1:6" ht="31.95" customHeight="1" x14ac:dyDescent="0.3">
      <c r="A6" s="14" t="s">
        <v>111</v>
      </c>
      <c r="B6" s="8" t="s">
        <v>112</v>
      </c>
      <c r="C6" s="30">
        <v>9.6600000000000002E-3</v>
      </c>
      <c r="D6" s="31" t="s">
        <v>113</v>
      </c>
      <c r="E6" s="32" t="s">
        <v>114</v>
      </c>
      <c r="F6" s="25" t="s">
        <v>115</v>
      </c>
    </row>
    <row r="7" spans="1:6" ht="31.95" customHeight="1" x14ac:dyDescent="0.3">
      <c r="A7" s="33" t="s">
        <v>116</v>
      </c>
      <c r="B7" s="34" t="s">
        <v>108</v>
      </c>
      <c r="C7" s="35">
        <v>0.19</v>
      </c>
      <c r="D7" s="36" t="s">
        <v>117</v>
      </c>
      <c r="E7" s="37">
        <f>'02_Costos_Directos_COGS'!E22*C7</f>
        <v>11743900</v>
      </c>
      <c r="F7" s="38" t="s">
        <v>118</v>
      </c>
    </row>
    <row r="8" spans="1:6" ht="31.95" customHeight="1" x14ac:dyDescent="0.3">
      <c r="A8" s="14" t="s">
        <v>119</v>
      </c>
      <c r="B8" s="8" t="s">
        <v>120</v>
      </c>
      <c r="C8" s="30">
        <v>0</v>
      </c>
      <c r="D8" s="31" t="s">
        <v>53</v>
      </c>
      <c r="E8" s="9">
        <v>0</v>
      </c>
      <c r="F8" s="25" t="s">
        <v>121</v>
      </c>
    </row>
    <row r="9" spans="1:6" ht="31.95" customHeight="1" x14ac:dyDescent="0.3">
      <c r="A9" s="15" t="s">
        <v>122</v>
      </c>
      <c r="B9" s="4" t="s">
        <v>123</v>
      </c>
      <c r="C9" s="28">
        <v>4.0000000000000001E-3</v>
      </c>
      <c r="D9" s="29" t="s">
        <v>124</v>
      </c>
      <c r="E9" s="16">
        <f>('02_Costos_Directos_COGS'!G22+'04_Costos_Indirectos_OpEx'!C13)*C9</f>
        <v>96975.652000000002</v>
      </c>
      <c r="F9" s="24" t="s">
        <v>125</v>
      </c>
    </row>
    <row r="10" spans="1:6" ht="31.95" customHeight="1" x14ac:dyDescent="0.3">
      <c r="A10" s="14" t="s">
        <v>126</v>
      </c>
      <c r="B10" s="8" t="s">
        <v>127</v>
      </c>
      <c r="C10" s="8" t="s">
        <v>128</v>
      </c>
      <c r="D10" s="31" t="s">
        <v>53</v>
      </c>
      <c r="E10" s="9">
        <v>25000</v>
      </c>
      <c r="F10" s="25" t="s">
        <v>129</v>
      </c>
    </row>
    <row r="11" spans="1:6" x14ac:dyDescent="0.3">
      <c r="A11" s="17" t="s">
        <v>130</v>
      </c>
      <c r="B11" s="17"/>
      <c r="C11" s="23">
        <f>E11/'02_Costos_Directos_COGS'!E22</f>
        <v>8.4973396731920392E-2</v>
      </c>
      <c r="D11" s="17"/>
      <c r="E11" s="18">
        <f>E5+E9+E10+E8</f>
        <v>5252205.6519999998</v>
      </c>
      <c r="F11" s="17" t="s">
        <v>131</v>
      </c>
    </row>
    <row r="13" spans="1:6" x14ac:dyDescent="0.3">
      <c r="A13" s="109" t="s">
        <v>31</v>
      </c>
      <c r="B13" s="110"/>
      <c r="C13" s="110"/>
      <c r="D13" s="110"/>
      <c r="E13" s="110"/>
      <c r="F13" s="110"/>
    </row>
  </sheetData>
  <mergeCells count="3">
    <mergeCell ref="A13:F13"/>
    <mergeCell ref="A2:F2"/>
    <mergeCell ref="A1:F1"/>
  </mergeCells>
  <pageMargins left="0.5" right="0.5" top="0.6" bottom="0.6"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5612E"/>
    <pageSetUpPr fitToPage="1"/>
  </sheetPr>
  <dimension ref="A1:F11"/>
  <sheetViews>
    <sheetView showGridLines="0" workbookViewId="0">
      <pane ySplit="4" topLeftCell="A5" activePane="bottomLeft" state="frozen"/>
      <selection pane="bottomLeft" sqref="A1:F1"/>
    </sheetView>
  </sheetViews>
  <sheetFormatPr baseColWidth="10" defaultColWidth="8.88671875" defaultRowHeight="14.4" x14ac:dyDescent="0.3"/>
  <cols>
    <col min="1" max="1" width="10" customWidth="1"/>
    <col min="2" max="2" width="34" customWidth="1"/>
    <col min="3" max="3" width="12" customWidth="1"/>
    <col min="4" max="4" width="32" customWidth="1"/>
    <col min="5" max="5" width="18" customWidth="1"/>
    <col min="6" max="6" width="40" customWidth="1"/>
  </cols>
  <sheetData>
    <row r="1" spans="1:6" ht="18" customHeight="1" x14ac:dyDescent="0.35">
      <c r="A1" s="127" t="s">
        <v>132</v>
      </c>
      <c r="B1" s="110"/>
      <c r="C1" s="110"/>
      <c r="D1" s="110"/>
      <c r="E1" s="110"/>
      <c r="F1" s="110"/>
    </row>
    <row r="2" spans="1:6" x14ac:dyDescent="0.3">
      <c r="A2" s="109" t="s">
        <v>133</v>
      </c>
      <c r="B2" s="110"/>
      <c r="C2" s="110"/>
      <c r="D2" s="110"/>
      <c r="E2" s="110"/>
      <c r="F2" s="110"/>
    </row>
    <row r="4" spans="1:6" ht="30" customHeight="1" x14ac:dyDescent="0.3">
      <c r="A4" s="3" t="s">
        <v>134</v>
      </c>
      <c r="B4" s="3" t="s">
        <v>135</v>
      </c>
      <c r="C4" s="3" t="s">
        <v>136</v>
      </c>
      <c r="D4" s="3" t="s">
        <v>137</v>
      </c>
      <c r="E4" s="3" t="s">
        <v>138</v>
      </c>
      <c r="F4" s="3" t="s">
        <v>139</v>
      </c>
    </row>
    <row r="5" spans="1:6" ht="30" customHeight="1" x14ac:dyDescent="0.3">
      <c r="A5" s="39" t="s">
        <v>140</v>
      </c>
      <c r="B5" s="15" t="s">
        <v>141</v>
      </c>
      <c r="C5" s="28">
        <v>0.15</v>
      </c>
      <c r="D5" s="29" t="s">
        <v>142</v>
      </c>
      <c r="E5" s="16">
        <f>('02_Costos_Directos_COGS'!C6*'02_Costos_Directos_COGS'!B20+'02_Costos_Directos_COGS'!D6*'02_Costos_Directos_COGS'!B21)*C5</f>
        <v>1549057.2</v>
      </c>
      <c r="F5" s="24" t="s">
        <v>143</v>
      </c>
    </row>
    <row r="6" spans="1:6" ht="30" customHeight="1" x14ac:dyDescent="0.3">
      <c r="A6" s="40" t="s">
        <v>144</v>
      </c>
      <c r="B6" s="14" t="s">
        <v>145</v>
      </c>
      <c r="C6" s="30">
        <v>0.05</v>
      </c>
      <c r="D6" s="31" t="s">
        <v>146</v>
      </c>
      <c r="E6" s="41">
        <f>'04_Costos_Indirectos_OpEx'!C13*C6</f>
        <v>179955.25</v>
      </c>
      <c r="F6" s="25" t="s">
        <v>147</v>
      </c>
    </row>
    <row r="7" spans="1:6" ht="30" customHeight="1" x14ac:dyDescent="0.3">
      <c r="A7" s="39" t="s">
        <v>148</v>
      </c>
      <c r="B7" s="15" t="s">
        <v>149</v>
      </c>
      <c r="C7" s="28">
        <v>0.03</v>
      </c>
      <c r="D7" s="29" t="s">
        <v>109</v>
      </c>
      <c r="E7" s="16">
        <f>'02_Costos_Directos_COGS'!E22*C7</f>
        <v>1854300</v>
      </c>
      <c r="F7" s="24" t="s">
        <v>150</v>
      </c>
    </row>
    <row r="8" spans="1:6" ht="30" customHeight="1" x14ac:dyDescent="0.3">
      <c r="A8" s="40" t="s">
        <v>151</v>
      </c>
      <c r="B8" s="14" t="s">
        <v>152</v>
      </c>
      <c r="C8" s="30">
        <v>0.02</v>
      </c>
      <c r="D8" s="31" t="s">
        <v>146</v>
      </c>
      <c r="E8" s="41">
        <f>'04_Costos_Indirectos_OpEx'!C13*C8</f>
        <v>71982.100000000006</v>
      </c>
      <c r="F8" s="25" t="s">
        <v>153</v>
      </c>
    </row>
    <row r="9" spans="1:6" x14ac:dyDescent="0.3">
      <c r="A9" s="17" t="s">
        <v>52</v>
      </c>
      <c r="B9" s="17" t="s">
        <v>154</v>
      </c>
      <c r="C9" s="23">
        <f>E9/'02_Costos_Directos_COGS'!E22</f>
        <v>5.9137591813622395E-2</v>
      </c>
      <c r="D9" s="17"/>
      <c r="E9" s="18">
        <f>SUM(E5:E8)</f>
        <v>3655294.5500000003</v>
      </c>
      <c r="F9" s="17"/>
    </row>
    <row r="11" spans="1:6" x14ac:dyDescent="0.3">
      <c r="A11" s="109" t="s">
        <v>31</v>
      </c>
      <c r="B11" s="110"/>
      <c r="C11" s="110"/>
      <c r="D11" s="110"/>
      <c r="E11" s="110"/>
      <c r="F11" s="110"/>
    </row>
  </sheetData>
  <mergeCells count="3">
    <mergeCell ref="A2:F2"/>
    <mergeCell ref="A11:F11"/>
    <mergeCell ref="A1:F1"/>
  </mergeCells>
  <pageMargins left="0.5" right="0.5" top="0.6" bottom="0.6"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4AF37"/>
    <pageSetUpPr fitToPage="1"/>
  </sheetPr>
  <dimension ref="A1:D14"/>
  <sheetViews>
    <sheetView showGridLines="0" workbookViewId="0">
      <pane ySplit="4" topLeftCell="A5" activePane="bottomLeft" state="frozen"/>
      <selection pane="bottomLeft" sqref="A1:D1"/>
    </sheetView>
  </sheetViews>
  <sheetFormatPr baseColWidth="10" defaultColWidth="8.88671875" defaultRowHeight="14.4" x14ac:dyDescent="0.3"/>
  <cols>
    <col min="1" max="1" width="52" customWidth="1"/>
    <col min="2" max="2" width="18" customWidth="1"/>
    <col min="3" max="3" width="16" customWidth="1"/>
    <col min="4" max="4" width="10" customWidth="1"/>
  </cols>
  <sheetData>
    <row r="1" spans="1:4" ht="19.8" customHeight="1" x14ac:dyDescent="0.4">
      <c r="A1" s="126" t="s">
        <v>155</v>
      </c>
      <c r="B1" s="110"/>
      <c r="C1" s="110"/>
      <c r="D1" s="110"/>
    </row>
    <row r="2" spans="1:4" x14ac:dyDescent="0.3">
      <c r="A2" s="109" t="s">
        <v>156</v>
      </c>
      <c r="B2" s="110"/>
      <c r="C2" s="110"/>
      <c r="D2" s="110"/>
    </row>
    <row r="4" spans="1:4" ht="30" customHeight="1" x14ac:dyDescent="0.3">
      <c r="A4" s="3" t="s">
        <v>135</v>
      </c>
      <c r="B4" s="3" t="s">
        <v>157</v>
      </c>
      <c r="C4" s="3" t="s">
        <v>158</v>
      </c>
      <c r="D4" s="3"/>
    </row>
    <row r="5" spans="1:4" ht="22.05" customHeight="1" x14ac:dyDescent="0.3">
      <c r="A5" s="42" t="s">
        <v>159</v>
      </c>
      <c r="B5" s="43">
        <f>'02_Costos_Directos_COGS'!E22</f>
        <v>61810000</v>
      </c>
      <c r="C5" s="22"/>
    </row>
    <row r="6" spans="1:4" ht="22.05" customHeight="1" x14ac:dyDescent="0.3">
      <c r="A6" s="42" t="s">
        <v>160</v>
      </c>
      <c r="B6" s="43">
        <f>'02_Costos_Directos_COGS'!G22</f>
        <v>20644808</v>
      </c>
      <c r="C6" s="22"/>
    </row>
    <row r="7" spans="1:4" ht="22.05" customHeight="1" x14ac:dyDescent="0.3">
      <c r="A7" s="17" t="s">
        <v>161</v>
      </c>
      <c r="B7" s="44">
        <f>B5-B6</f>
        <v>41165192</v>
      </c>
      <c r="C7" s="45">
        <f>B7/B$5</f>
        <v>0.6659956641320175</v>
      </c>
    </row>
    <row r="8" spans="1:4" ht="22.05" customHeight="1" x14ac:dyDescent="0.3">
      <c r="A8" s="42" t="s">
        <v>162</v>
      </c>
      <c r="B8" s="43">
        <f>'04_Costos_Indirectos_OpEx'!C13</f>
        <v>3599105</v>
      </c>
      <c r="C8" s="22"/>
    </row>
    <row r="9" spans="1:4" ht="22.05" customHeight="1" x14ac:dyDescent="0.3">
      <c r="A9" s="17" t="s">
        <v>163</v>
      </c>
      <c r="B9" s="44">
        <f>B7-B8</f>
        <v>37566087</v>
      </c>
      <c r="C9" s="45">
        <f>B9/B$5</f>
        <v>0.60776714123928166</v>
      </c>
    </row>
    <row r="10" spans="1:4" ht="22.05" customHeight="1" x14ac:dyDescent="0.3">
      <c r="A10" s="42" t="s">
        <v>164</v>
      </c>
      <c r="B10" s="43">
        <f>'06_Reservas_Contingencia'!E9</f>
        <v>3655294.5500000003</v>
      </c>
      <c r="C10" s="22"/>
    </row>
    <row r="11" spans="1:4" ht="22.05" customHeight="1" x14ac:dyDescent="0.3">
      <c r="A11" s="42" t="s">
        <v>165</v>
      </c>
      <c r="B11" s="43">
        <f>'05_Impuestos_y_Tasas'!E11</f>
        <v>5252205.6519999998</v>
      </c>
      <c r="C11" s="22"/>
    </row>
    <row r="12" spans="1:4" ht="22.05" customHeight="1" x14ac:dyDescent="0.3">
      <c r="A12" s="46" t="s">
        <v>166</v>
      </c>
      <c r="B12" s="47">
        <f>B9-B10-B11</f>
        <v>28658586.798000004</v>
      </c>
      <c r="C12" s="48">
        <f>B12/B$5</f>
        <v>0.46365615269373894</v>
      </c>
    </row>
    <row r="14" spans="1:4" x14ac:dyDescent="0.3">
      <c r="A14" s="109" t="s">
        <v>31</v>
      </c>
      <c r="B14" s="110"/>
      <c r="C14" s="110"/>
      <c r="D14" s="110"/>
    </row>
  </sheetData>
  <mergeCells count="3">
    <mergeCell ref="A1:D1"/>
    <mergeCell ref="A14:D14"/>
    <mergeCell ref="A2:D2"/>
  </mergeCells>
  <pageMargins left="0.5" right="0.5" top="0.6" bottom="0.6"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5612E"/>
    <pageSetUpPr fitToPage="1"/>
  </sheetPr>
  <dimension ref="A1:E34"/>
  <sheetViews>
    <sheetView showGridLines="0" workbookViewId="0">
      <pane ySplit="5" topLeftCell="A6" activePane="bottomLeft" state="frozen"/>
      <selection pane="bottomLeft" sqref="A1:E1"/>
    </sheetView>
  </sheetViews>
  <sheetFormatPr baseColWidth="10" defaultColWidth="8.88671875" defaultRowHeight="14.4" x14ac:dyDescent="0.3"/>
  <cols>
    <col min="1" max="1" width="46" customWidth="1"/>
    <col min="2" max="2" width="22" customWidth="1"/>
    <col min="3" max="3" width="30" customWidth="1"/>
    <col min="4" max="4" width="20" customWidth="1"/>
    <col min="5" max="5" width="22" customWidth="1"/>
  </cols>
  <sheetData>
    <row r="1" spans="1:5" ht="19.8" customHeight="1" x14ac:dyDescent="0.4">
      <c r="A1" s="126" t="s">
        <v>167</v>
      </c>
      <c r="B1" s="110"/>
      <c r="C1" s="110"/>
      <c r="D1" s="110"/>
      <c r="E1" s="110"/>
    </row>
    <row r="2" spans="1:5" x14ac:dyDescent="0.3">
      <c r="A2" s="128" t="s">
        <v>168</v>
      </c>
      <c r="B2" s="110"/>
      <c r="C2" s="110"/>
      <c r="D2" s="110"/>
      <c r="E2" s="110"/>
    </row>
    <row r="3" spans="1:5" x14ac:dyDescent="0.3">
      <c r="A3" s="110"/>
      <c r="B3" s="110"/>
      <c r="C3" s="110"/>
      <c r="D3" s="110"/>
      <c r="E3" s="110"/>
    </row>
    <row r="5" spans="1:5" ht="30" customHeight="1" x14ac:dyDescent="0.3">
      <c r="A5" s="3" t="s">
        <v>169</v>
      </c>
      <c r="B5" s="3" t="s">
        <v>170</v>
      </c>
      <c r="C5" s="3" t="s">
        <v>171</v>
      </c>
      <c r="D5" s="3" t="s">
        <v>172</v>
      </c>
      <c r="E5" s="3" t="s">
        <v>173</v>
      </c>
    </row>
    <row r="6" spans="1:5" ht="34.049999999999997" customHeight="1" x14ac:dyDescent="0.3">
      <c r="A6" s="15" t="s">
        <v>174</v>
      </c>
      <c r="B6" s="5">
        <v>60962</v>
      </c>
      <c r="C6" s="24" t="s">
        <v>175</v>
      </c>
      <c r="D6" s="6">
        <f>'02_Costos_Directos_COGS'!B20+'02_Costos_Directos_COGS'!B21</f>
        <v>58</v>
      </c>
      <c r="E6" s="16">
        <f>B6*D6</f>
        <v>3535796</v>
      </c>
    </row>
    <row r="7" spans="1:5" ht="34.049999999999997" customHeight="1" x14ac:dyDescent="0.3">
      <c r="A7" s="14" t="s">
        <v>176</v>
      </c>
      <c r="B7" s="9">
        <v>0</v>
      </c>
      <c r="C7" s="25" t="s">
        <v>177</v>
      </c>
      <c r="D7" s="10" t="s">
        <v>53</v>
      </c>
      <c r="E7" s="41">
        <v>0</v>
      </c>
    </row>
    <row r="8" spans="1:5" x14ac:dyDescent="0.3">
      <c r="A8" s="129" t="s">
        <v>178</v>
      </c>
      <c r="B8" s="110"/>
      <c r="C8" s="110"/>
      <c r="D8" s="110"/>
      <c r="E8" s="110"/>
    </row>
    <row r="10" spans="1:5" x14ac:dyDescent="0.3">
      <c r="A10" s="17" t="s">
        <v>179</v>
      </c>
      <c r="B10" s="17"/>
      <c r="C10" s="17"/>
      <c r="D10" s="17"/>
      <c r="E10" s="18">
        <f>E6+E7</f>
        <v>3535796</v>
      </c>
    </row>
    <row r="13" spans="1:5" ht="17.399999999999999" customHeight="1" x14ac:dyDescent="0.35">
      <c r="A13" s="118" t="s">
        <v>180</v>
      </c>
      <c r="B13" s="110"/>
      <c r="C13" s="110"/>
      <c r="D13" s="110"/>
    </row>
    <row r="15" spans="1:5" ht="30" customHeight="1" x14ac:dyDescent="0.3">
      <c r="A15" s="3" t="s">
        <v>135</v>
      </c>
      <c r="B15" s="3" t="s">
        <v>181</v>
      </c>
      <c r="C15" s="3" t="s">
        <v>182</v>
      </c>
      <c r="D15" s="3" t="s">
        <v>183</v>
      </c>
    </row>
    <row r="16" spans="1:5" ht="22.05" customHeight="1" x14ac:dyDescent="0.3">
      <c r="A16" s="8" t="s">
        <v>159</v>
      </c>
      <c r="B16" s="49">
        <f>'07_Estado_Resultados_PyG'!B5</f>
        <v>61810000</v>
      </c>
      <c r="C16" s="49">
        <f>B16</f>
        <v>61810000</v>
      </c>
      <c r="D16" s="49">
        <f t="shared" ref="D16:D21" si="0">C16-B16</f>
        <v>0</v>
      </c>
    </row>
    <row r="17" spans="1:4" ht="22.05" customHeight="1" x14ac:dyDescent="0.3">
      <c r="A17" s="8" t="s">
        <v>160</v>
      </c>
      <c r="B17" s="49">
        <f>'07_Estado_Resultados_PyG'!B6</f>
        <v>20644808</v>
      </c>
      <c r="C17" s="49">
        <f>B17+E10</f>
        <v>24180604</v>
      </c>
      <c r="D17" s="49">
        <f t="shared" si="0"/>
        <v>3535796</v>
      </c>
    </row>
    <row r="18" spans="1:4" ht="22.05" customHeight="1" x14ac:dyDescent="0.3">
      <c r="A18" s="50" t="s">
        <v>161</v>
      </c>
      <c r="B18" s="51">
        <f>B16-B17</f>
        <v>41165192</v>
      </c>
      <c r="C18" s="51">
        <f>C16-C17</f>
        <v>37629396</v>
      </c>
      <c r="D18" s="51">
        <f t="shared" si="0"/>
        <v>-3535796</v>
      </c>
    </row>
    <row r="19" spans="1:4" ht="22.05" customHeight="1" x14ac:dyDescent="0.3">
      <c r="A19" s="8" t="s">
        <v>162</v>
      </c>
      <c r="B19" s="49">
        <f>'07_Estado_Resultados_PyG'!B8</f>
        <v>3599105</v>
      </c>
      <c r="C19" s="49">
        <f>B19</f>
        <v>3599105</v>
      </c>
      <c r="D19" s="49">
        <f t="shared" si="0"/>
        <v>0</v>
      </c>
    </row>
    <row r="20" spans="1:4" ht="22.05" customHeight="1" x14ac:dyDescent="0.3">
      <c r="A20" s="50" t="s">
        <v>163</v>
      </c>
      <c r="B20" s="51">
        <f>B18-B19</f>
        <v>37566087</v>
      </c>
      <c r="C20" s="51">
        <f>C18-C19</f>
        <v>34030291</v>
      </c>
      <c r="D20" s="51">
        <f t="shared" si="0"/>
        <v>-3535796</v>
      </c>
    </row>
    <row r="21" spans="1:4" ht="22.05" customHeight="1" x14ac:dyDescent="0.3">
      <c r="A21" s="8" t="s">
        <v>164</v>
      </c>
      <c r="B21" s="49">
        <f>'07_Estado_Resultados_PyG'!B10</f>
        <v>3655294.5500000003</v>
      </c>
      <c r="C21" s="49">
        <f>B21</f>
        <v>3655294.5500000003</v>
      </c>
      <c r="D21" s="49">
        <f t="shared" si="0"/>
        <v>0</v>
      </c>
    </row>
    <row r="22" spans="1:4" x14ac:dyDescent="0.3">
      <c r="A22" s="2" t="s">
        <v>184</v>
      </c>
      <c r="C22" s="2">
        <f>(C17+C19)*'05_Impuestos_y_Tasas'!C9</f>
        <v>111118.836</v>
      </c>
    </row>
    <row r="23" spans="1:4" ht="22.05" customHeight="1" x14ac:dyDescent="0.3">
      <c r="A23" s="8" t="s">
        <v>165</v>
      </c>
      <c r="B23" s="49">
        <f>'07_Estado_Resultados_PyG'!B11</f>
        <v>5252205.6519999998</v>
      </c>
      <c r="C23" s="49">
        <f>'05_Impuestos_y_Tasas'!E5+C22+'05_Impuestos_y_Tasas'!E10+'05_Impuestos_y_Tasas'!E8</f>
        <v>5266348.8360000001</v>
      </c>
      <c r="D23" s="49">
        <f>C23-B23</f>
        <v>14143.184000000358</v>
      </c>
    </row>
    <row r="24" spans="1:4" ht="22.05" customHeight="1" x14ac:dyDescent="0.3">
      <c r="A24" s="52" t="s">
        <v>185</v>
      </c>
      <c r="B24" s="53">
        <f>B20-B21-B23</f>
        <v>28658586.798000004</v>
      </c>
      <c r="C24" s="53">
        <f>C20-C21-C23</f>
        <v>25108647.614</v>
      </c>
      <c r="D24" s="53">
        <f>C24-B24</f>
        <v>-3549939.1840000041</v>
      </c>
    </row>
    <row r="26" spans="1:4" x14ac:dyDescent="0.3">
      <c r="A26" s="54" t="s">
        <v>186</v>
      </c>
      <c r="B26" s="55">
        <f>D24</f>
        <v>-3549939.1840000041</v>
      </c>
    </row>
    <row r="28" spans="1:4" ht="15.6" customHeight="1" x14ac:dyDescent="0.3">
      <c r="A28" s="130" t="s">
        <v>187</v>
      </c>
      <c r="B28" s="110"/>
      <c r="C28" s="110"/>
      <c r="D28" s="110"/>
    </row>
    <row r="29" spans="1:4" ht="30" customHeight="1" x14ac:dyDescent="0.3">
      <c r="A29" s="3" t="s">
        <v>43</v>
      </c>
      <c r="B29" s="3" t="s">
        <v>188</v>
      </c>
      <c r="C29" s="3" t="s">
        <v>189</v>
      </c>
      <c r="D29" s="3" t="s">
        <v>190</v>
      </c>
    </row>
    <row r="30" spans="1:4" x14ac:dyDescent="0.3">
      <c r="A30" s="34" t="s">
        <v>17</v>
      </c>
      <c r="B30" s="35">
        <f>'02_Costos_Directos_COGS'!C12</f>
        <v>0.71584533333333333</v>
      </c>
      <c r="C30" s="35">
        <f>('02_Costos_Directos_COGS'!C5-('02_Costos_Directos_COGS'!C11+B6))/'02_Costos_Directos_COGS'!C5</f>
        <v>0.55327999999999999</v>
      </c>
      <c r="D30" s="56">
        <f>C30-B30</f>
        <v>-0.16256533333333334</v>
      </c>
    </row>
    <row r="32" spans="1:4" x14ac:dyDescent="0.3">
      <c r="A32" s="129" t="s">
        <v>191</v>
      </c>
      <c r="B32" s="110"/>
      <c r="C32" s="110"/>
      <c r="D32" s="110"/>
    </row>
    <row r="34" spans="1:4" x14ac:dyDescent="0.3">
      <c r="A34" s="109" t="s">
        <v>192</v>
      </c>
      <c r="B34" s="110"/>
      <c r="C34" s="110"/>
      <c r="D34" s="110"/>
    </row>
  </sheetData>
  <mergeCells count="7">
    <mergeCell ref="A34:D34"/>
    <mergeCell ref="A2:E3"/>
    <mergeCell ref="A1:E1"/>
    <mergeCell ref="A8:E8"/>
    <mergeCell ref="A28:D28"/>
    <mergeCell ref="A32:D32"/>
    <mergeCell ref="A13:D13"/>
  </mergeCells>
  <pageMargins left="0.5" right="0.5" top="0.6" bottom="0.6"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4AF37"/>
    <pageSetUpPr fitToPage="1"/>
  </sheetPr>
  <dimension ref="A1:F63"/>
  <sheetViews>
    <sheetView showGridLines="0" workbookViewId="0">
      <pane ySplit="2" topLeftCell="A3" activePane="bottomLeft" state="frozen"/>
      <selection pane="bottomLeft" sqref="A1:F1"/>
    </sheetView>
  </sheetViews>
  <sheetFormatPr baseColWidth="10" defaultColWidth="8.88671875" defaultRowHeight="14.4" x14ac:dyDescent="0.3"/>
  <cols>
    <col min="1" max="1" width="48" customWidth="1"/>
    <col min="2" max="5" width="26" customWidth="1"/>
  </cols>
  <sheetData>
    <row r="1" spans="1:6" ht="19.95" customHeight="1" x14ac:dyDescent="0.35">
      <c r="A1" s="140" t="s">
        <v>193</v>
      </c>
      <c r="B1" s="110"/>
      <c r="C1" s="110"/>
      <c r="D1" s="110"/>
      <c r="E1" s="110"/>
      <c r="F1" s="110"/>
    </row>
    <row r="2" spans="1:6" ht="28.05" customHeight="1" x14ac:dyDescent="0.3">
      <c r="A2" s="132" t="s">
        <v>194</v>
      </c>
      <c r="B2" s="110"/>
      <c r="C2" s="110"/>
      <c r="D2" s="110"/>
      <c r="E2" s="110"/>
      <c r="F2" s="110"/>
    </row>
    <row r="4" spans="1:6" ht="15.6" customHeight="1" x14ac:dyDescent="0.3">
      <c r="A4" s="139" t="s">
        <v>195</v>
      </c>
      <c r="B4" s="110"/>
      <c r="C4" s="110"/>
      <c r="D4" s="110"/>
      <c r="E4" s="110"/>
    </row>
    <row r="6" spans="1:6" ht="28.05" customHeight="1" x14ac:dyDescent="0.3">
      <c r="A6" s="57" t="s">
        <v>14</v>
      </c>
      <c r="B6" s="57" t="s">
        <v>196</v>
      </c>
      <c r="C6" s="57" t="s">
        <v>197</v>
      </c>
      <c r="D6" s="57" t="s">
        <v>198</v>
      </c>
      <c r="E6" s="57" t="s">
        <v>199</v>
      </c>
    </row>
    <row r="7" spans="1:6" ht="30" customHeight="1" x14ac:dyDescent="0.3">
      <c r="A7" s="58" t="s">
        <v>200</v>
      </c>
      <c r="B7" s="59">
        <v>30</v>
      </c>
      <c r="C7" s="60" t="s">
        <v>201</v>
      </c>
      <c r="D7" s="61">
        <f>'02_Costos_Directos_COGS'!C6</f>
        <v>51124</v>
      </c>
      <c r="E7" s="61">
        <f>'02_Costos_Directos_COGS'!D6</f>
        <v>511240</v>
      </c>
    </row>
    <row r="8" spans="1:6" ht="30" customHeight="1" x14ac:dyDescent="0.3">
      <c r="A8" s="62" t="s">
        <v>202</v>
      </c>
      <c r="B8" s="63">
        <f>8*22</f>
        <v>176</v>
      </c>
      <c r="C8" s="64" t="s">
        <v>203</v>
      </c>
      <c r="D8" s="65">
        <f>'02_Costos_Directos_COGS'!C6*B14</f>
        <v>599854.93333333335</v>
      </c>
      <c r="E8" s="66">
        <f>D8*10</f>
        <v>5998549.333333334</v>
      </c>
    </row>
    <row r="10" spans="1:6" x14ac:dyDescent="0.3">
      <c r="A10" s="131" t="s">
        <v>204</v>
      </c>
      <c r="B10" s="110"/>
      <c r="C10" s="110"/>
    </row>
    <row r="11" spans="1:6" ht="28.05" customHeight="1" x14ac:dyDescent="0.3">
      <c r="A11" s="57" t="s">
        <v>205</v>
      </c>
      <c r="B11" s="57" t="s">
        <v>206</v>
      </c>
    </row>
    <row r="12" spans="1:6" ht="25.95" customHeight="1" x14ac:dyDescent="0.3">
      <c r="A12" s="58" t="s">
        <v>207</v>
      </c>
      <c r="B12" s="67">
        <f>B8/B7</f>
        <v>5.8666666666666663</v>
      </c>
    </row>
    <row r="13" spans="1:6" ht="25.95" customHeight="1" x14ac:dyDescent="0.3">
      <c r="A13" s="62" t="s">
        <v>208</v>
      </c>
      <c r="B13" s="68">
        <v>2</v>
      </c>
    </row>
    <row r="14" spans="1:6" x14ac:dyDescent="0.3">
      <c r="A14" s="69" t="s">
        <v>209</v>
      </c>
      <c r="B14" s="70">
        <f>B12*B13</f>
        <v>11.733333333333333</v>
      </c>
    </row>
    <row r="16" spans="1:6" x14ac:dyDescent="0.3">
      <c r="A16" s="132" t="s">
        <v>210</v>
      </c>
      <c r="B16" s="110"/>
      <c r="C16" s="110"/>
      <c r="D16" s="110"/>
      <c r="E16" s="110"/>
    </row>
    <row r="18" spans="1:5" ht="15.6" customHeight="1" x14ac:dyDescent="0.3">
      <c r="A18" s="139" t="s">
        <v>211</v>
      </c>
      <c r="B18" s="110"/>
      <c r="C18" s="110"/>
      <c r="D18" s="110"/>
      <c r="E18" s="110"/>
    </row>
    <row r="20" spans="1:5" ht="28.05" customHeight="1" x14ac:dyDescent="0.3">
      <c r="A20" s="57" t="s">
        <v>14</v>
      </c>
      <c r="B20" s="57" t="s">
        <v>212</v>
      </c>
      <c r="C20" s="57" t="s">
        <v>213</v>
      </c>
      <c r="D20" s="57" t="s">
        <v>214</v>
      </c>
      <c r="E20" s="57" t="s">
        <v>215</v>
      </c>
    </row>
    <row r="21" spans="1:5" ht="30" customHeight="1" x14ac:dyDescent="0.3">
      <c r="A21" s="58" t="s">
        <v>216</v>
      </c>
      <c r="B21" s="71">
        <v>400</v>
      </c>
      <c r="C21" s="72">
        <v>20</v>
      </c>
      <c r="D21" s="73">
        <f>'08_Actualizacion_Operativa'!B6</f>
        <v>60962</v>
      </c>
      <c r="E21" s="74" t="s">
        <v>217</v>
      </c>
    </row>
    <row r="22" spans="1:5" ht="30" customHeight="1" x14ac:dyDescent="0.3">
      <c r="A22" s="62" t="s">
        <v>218</v>
      </c>
      <c r="B22" s="75">
        <f>60*3</f>
        <v>180</v>
      </c>
      <c r="C22" s="76">
        <f>(C21/B21)*B22</f>
        <v>9</v>
      </c>
      <c r="D22" s="75">
        <f>(D21/C21)*C22</f>
        <v>27432.899999999998</v>
      </c>
      <c r="E22" s="77" t="str">
        <f>"Si, con margen de sobra (queda al "&amp;TEXT(B22/B21,"0%")&amp;" del tope)"</f>
        <v>Si, con margen de sobra (queda al 45% del tope)</v>
      </c>
    </row>
    <row r="23" spans="1:5" ht="25.95" customHeight="1" x14ac:dyDescent="0.3">
      <c r="A23" s="141" t="s">
        <v>219</v>
      </c>
      <c r="B23" s="110"/>
      <c r="C23" s="110"/>
      <c r="D23" s="110"/>
      <c r="E23" s="110"/>
    </row>
    <row r="25" spans="1:5" x14ac:dyDescent="0.3">
      <c r="A25" s="132" t="s">
        <v>220</v>
      </c>
      <c r="B25" s="110"/>
      <c r="C25" s="110"/>
      <c r="D25" s="110"/>
      <c r="E25" s="110"/>
    </row>
    <row r="27" spans="1:5" x14ac:dyDescent="0.3">
      <c r="A27" s="131" t="s">
        <v>221</v>
      </c>
      <c r="B27" s="110"/>
      <c r="C27" s="110"/>
    </row>
    <row r="28" spans="1:5" ht="28.05" customHeight="1" x14ac:dyDescent="0.3">
      <c r="A28" s="57" t="s">
        <v>222</v>
      </c>
      <c r="B28" s="57" t="s">
        <v>206</v>
      </c>
    </row>
    <row r="29" spans="1:5" ht="24" customHeight="1" x14ac:dyDescent="0.3">
      <c r="A29" s="58" t="s">
        <v>223</v>
      </c>
      <c r="B29" s="71">
        <v>5</v>
      </c>
    </row>
    <row r="30" spans="1:5" ht="24" customHeight="1" x14ac:dyDescent="0.3">
      <c r="A30" s="62" t="s">
        <v>224</v>
      </c>
      <c r="B30" s="78">
        <v>22</v>
      </c>
    </row>
    <row r="31" spans="1:5" ht="24" customHeight="1" x14ac:dyDescent="0.3">
      <c r="A31" s="58" t="s">
        <v>225</v>
      </c>
      <c r="B31" s="71">
        <v>35</v>
      </c>
    </row>
    <row r="32" spans="1:5" ht="24" customHeight="1" x14ac:dyDescent="0.3">
      <c r="A32" s="62" t="s">
        <v>226</v>
      </c>
      <c r="B32" s="78">
        <v>10000</v>
      </c>
    </row>
    <row r="33" spans="1:2" ht="24" customHeight="1" x14ac:dyDescent="0.3">
      <c r="A33" s="58" t="s">
        <v>227</v>
      </c>
      <c r="B33" s="71">
        <v>10</v>
      </c>
    </row>
    <row r="34" spans="1:2" ht="24" customHeight="1" x14ac:dyDescent="0.3">
      <c r="A34" s="62" t="s">
        <v>228</v>
      </c>
      <c r="B34" s="65">
        <f>B29*B30</f>
        <v>110</v>
      </c>
    </row>
    <row r="35" spans="1:2" ht="24" customHeight="1" x14ac:dyDescent="0.3">
      <c r="A35" s="58" t="s">
        <v>229</v>
      </c>
      <c r="B35" s="61">
        <f>B34*B31</f>
        <v>3850</v>
      </c>
    </row>
    <row r="36" spans="1:2" ht="24" customHeight="1" x14ac:dyDescent="0.3">
      <c r="A36" s="62" t="s">
        <v>230</v>
      </c>
      <c r="B36" s="79">
        <f>B32/(B33*60)</f>
        <v>16.666666666666668</v>
      </c>
    </row>
    <row r="37" spans="1:2" ht="24" customHeight="1" x14ac:dyDescent="0.3">
      <c r="A37" s="69" t="s">
        <v>231</v>
      </c>
      <c r="B37" s="80">
        <f>B35*B36</f>
        <v>64166.666666666672</v>
      </c>
    </row>
    <row r="39" spans="1:2" ht="15.6" customHeight="1" x14ac:dyDescent="0.3">
      <c r="A39" s="142" t="s">
        <v>232</v>
      </c>
      <c r="B39" s="110"/>
    </row>
    <row r="41" spans="1:2" ht="28.05" customHeight="1" x14ac:dyDescent="0.3">
      <c r="A41" s="57" t="s">
        <v>135</v>
      </c>
      <c r="B41" s="57" t="s">
        <v>206</v>
      </c>
    </row>
    <row r="42" spans="1:2" ht="30" customHeight="1" x14ac:dyDescent="0.3">
      <c r="A42" s="81" t="s">
        <v>233</v>
      </c>
      <c r="B42" s="82" t="s">
        <v>234</v>
      </c>
    </row>
    <row r="43" spans="1:2" ht="30" customHeight="1" x14ac:dyDescent="0.3">
      <c r="A43" s="81" t="s">
        <v>235</v>
      </c>
      <c r="B43" s="82" t="s">
        <v>236</v>
      </c>
    </row>
    <row r="44" spans="1:2" ht="30" customHeight="1" x14ac:dyDescent="0.3">
      <c r="A44" s="81" t="s">
        <v>237</v>
      </c>
      <c r="B44" s="83">
        <f>B37</f>
        <v>64166.666666666672</v>
      </c>
    </row>
    <row r="45" spans="1:2" ht="30" customHeight="1" x14ac:dyDescent="0.3">
      <c r="A45" s="84" t="s">
        <v>238</v>
      </c>
      <c r="B45" s="85">
        <f>B44*10</f>
        <v>641666.66666666674</v>
      </c>
    </row>
    <row r="46" spans="1:2" ht="30" customHeight="1" x14ac:dyDescent="0.3">
      <c r="A46" s="84" t="s">
        <v>239</v>
      </c>
      <c r="B46" s="86">
        <f>B45/B32</f>
        <v>64.166666666666671</v>
      </c>
    </row>
    <row r="47" spans="1:2" ht="30" customHeight="1" x14ac:dyDescent="0.3">
      <c r="A47" s="84" t="s">
        <v>240</v>
      </c>
      <c r="B47" s="87">
        <f>(B32/B45)*B30</f>
        <v>0.3428571428571428</v>
      </c>
    </row>
    <row r="48" spans="1:2" ht="30" customHeight="1" x14ac:dyDescent="0.3">
      <c r="A48" s="81" t="s">
        <v>241</v>
      </c>
      <c r="B48" s="88">
        <f>30000/B45</f>
        <v>4.6753246753246748E-2</v>
      </c>
    </row>
    <row r="49" spans="1:5" ht="30" customHeight="1" x14ac:dyDescent="0.3">
      <c r="A49" s="81" t="s">
        <v>242</v>
      </c>
      <c r="B49" s="88">
        <f>121000/B45</f>
        <v>0.18857142857142856</v>
      </c>
    </row>
    <row r="51" spans="1:5" ht="60" customHeight="1" x14ac:dyDescent="0.3">
      <c r="A51" s="133" t="s">
        <v>243</v>
      </c>
      <c r="B51" s="134"/>
      <c r="C51" s="134"/>
      <c r="D51" s="134"/>
      <c r="E51" s="135"/>
    </row>
    <row r="52" spans="1:5" x14ac:dyDescent="0.3">
      <c r="A52" s="136"/>
      <c r="B52" s="137"/>
      <c r="C52" s="137"/>
      <c r="D52" s="137"/>
      <c r="E52" s="138"/>
    </row>
    <row r="54" spans="1:5" x14ac:dyDescent="0.3">
      <c r="A54" s="132" t="s">
        <v>244</v>
      </c>
      <c r="B54" s="110"/>
      <c r="C54" s="110"/>
      <c r="D54" s="110"/>
      <c r="E54" s="110"/>
    </row>
    <row r="56" spans="1:5" ht="15.6" customHeight="1" x14ac:dyDescent="0.3">
      <c r="A56" s="139" t="s">
        <v>245</v>
      </c>
      <c r="B56" s="110"/>
      <c r="C56" s="110"/>
    </row>
    <row r="58" spans="1:5" ht="28.05" customHeight="1" x14ac:dyDescent="0.3">
      <c r="A58" s="57" t="s">
        <v>246</v>
      </c>
      <c r="B58" s="57" t="s">
        <v>247</v>
      </c>
      <c r="C58" s="57" t="s">
        <v>248</v>
      </c>
    </row>
    <row r="59" spans="1:5" ht="24" customHeight="1" x14ac:dyDescent="0.3">
      <c r="A59" s="89" t="s">
        <v>249</v>
      </c>
      <c r="B59" s="90">
        <f>E8</f>
        <v>5998549.333333334</v>
      </c>
      <c r="C59" s="91" t="s">
        <v>250</v>
      </c>
    </row>
    <row r="60" spans="1:5" ht="24" customHeight="1" x14ac:dyDescent="0.3">
      <c r="A60" s="92" t="s">
        <v>251</v>
      </c>
      <c r="B60" s="93">
        <f>D21</f>
        <v>60962</v>
      </c>
      <c r="C60" s="94" t="s">
        <v>252</v>
      </c>
    </row>
    <row r="61" spans="1:5" ht="24" customHeight="1" x14ac:dyDescent="0.3">
      <c r="A61" s="95" t="s">
        <v>176</v>
      </c>
      <c r="B61" s="96">
        <f>B45</f>
        <v>641666.66666666674</v>
      </c>
      <c r="C61" s="97" t="s">
        <v>253</v>
      </c>
    </row>
    <row r="63" spans="1:5" x14ac:dyDescent="0.3">
      <c r="A63" s="132" t="s">
        <v>254</v>
      </c>
      <c r="B63" s="110"/>
      <c r="C63" s="110"/>
      <c r="D63" s="110"/>
      <c r="E63" s="110"/>
    </row>
  </sheetData>
  <mergeCells count="14">
    <mergeCell ref="A1:F1"/>
    <mergeCell ref="A25:E25"/>
    <mergeCell ref="A63:E63"/>
    <mergeCell ref="A56:C56"/>
    <mergeCell ref="A27:C27"/>
    <mergeCell ref="A23:E23"/>
    <mergeCell ref="A18:E18"/>
    <mergeCell ref="A39:B39"/>
    <mergeCell ref="A10:C10"/>
    <mergeCell ref="A2:F2"/>
    <mergeCell ref="A51:E52"/>
    <mergeCell ref="A4:E4"/>
    <mergeCell ref="A54:E54"/>
    <mergeCell ref="A16:E16"/>
  </mergeCells>
  <pageMargins left="0.5" right="0.5" top="0.6" bottom="0.6"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5612E"/>
    <pageSetUpPr fitToPage="1"/>
  </sheetPr>
  <dimension ref="A1:B32"/>
  <sheetViews>
    <sheetView showGridLines="0" workbookViewId="0">
      <pane ySplit="4" topLeftCell="A5" activePane="bottomLeft" state="frozen"/>
      <selection pane="bottomLeft"/>
    </sheetView>
  </sheetViews>
  <sheetFormatPr baseColWidth="10" defaultColWidth="8.88671875" defaultRowHeight="14.4" x14ac:dyDescent="0.3"/>
  <cols>
    <col min="1" max="1" width="30" customWidth="1"/>
    <col min="2" max="2" width="90" customWidth="1"/>
  </cols>
  <sheetData>
    <row r="1" spans="1:2" ht="22.05" customHeight="1" x14ac:dyDescent="0.4">
      <c r="A1" s="147" t="s">
        <v>255</v>
      </c>
      <c r="B1" s="110"/>
    </row>
    <row r="2" spans="1:2" ht="19.95" customHeight="1" x14ac:dyDescent="0.3">
      <c r="A2" s="145" t="s">
        <v>256</v>
      </c>
      <c r="B2" s="110"/>
    </row>
    <row r="4" spans="1:2" ht="22.05" customHeight="1" x14ac:dyDescent="0.3">
      <c r="A4" s="104" t="s">
        <v>257</v>
      </c>
      <c r="B4" s="104" t="s">
        <v>258</v>
      </c>
    </row>
    <row r="5" spans="1:2" ht="22.05" customHeight="1" x14ac:dyDescent="0.3">
      <c r="A5" s="143" t="s">
        <v>259</v>
      </c>
      <c r="B5" s="144"/>
    </row>
    <row r="6" spans="1:2" ht="60" customHeight="1" x14ac:dyDescent="0.3">
      <c r="A6" s="105" t="s">
        <v>3</v>
      </c>
      <c r="B6" s="106" t="s">
        <v>260</v>
      </c>
    </row>
    <row r="7" spans="1:2" ht="45" customHeight="1" x14ac:dyDescent="0.3">
      <c r="A7" s="107" t="s">
        <v>261</v>
      </c>
      <c r="B7" s="108" t="s">
        <v>262</v>
      </c>
    </row>
    <row r="8" spans="1:2" ht="45" customHeight="1" x14ac:dyDescent="0.3">
      <c r="A8" s="105" t="s">
        <v>263</v>
      </c>
      <c r="B8" s="106" t="s">
        <v>264</v>
      </c>
    </row>
    <row r="9" spans="1:2" ht="30" customHeight="1" x14ac:dyDescent="0.3">
      <c r="A9" s="107" t="s">
        <v>7</v>
      </c>
      <c r="B9" s="108" t="s">
        <v>265</v>
      </c>
    </row>
    <row r="10" spans="1:2" ht="30" customHeight="1" x14ac:dyDescent="0.3">
      <c r="A10" s="105" t="s">
        <v>266</v>
      </c>
      <c r="B10" s="106" t="s">
        <v>267</v>
      </c>
    </row>
    <row r="11" spans="1:2" ht="22.05" customHeight="1" x14ac:dyDescent="0.3">
      <c r="A11" s="143" t="s">
        <v>268</v>
      </c>
      <c r="B11" s="144"/>
    </row>
    <row r="12" spans="1:2" ht="30" customHeight="1" x14ac:dyDescent="0.3">
      <c r="A12" s="107" t="s">
        <v>46</v>
      </c>
      <c r="B12" s="108" t="s">
        <v>269</v>
      </c>
    </row>
    <row r="13" spans="1:2" ht="30" customHeight="1" x14ac:dyDescent="0.3">
      <c r="A13" s="105" t="s">
        <v>270</v>
      </c>
      <c r="B13" s="106" t="s">
        <v>271</v>
      </c>
    </row>
    <row r="14" spans="1:2" ht="30" customHeight="1" x14ac:dyDescent="0.3">
      <c r="A14" s="107" t="s">
        <v>272</v>
      </c>
      <c r="B14" s="108" t="s">
        <v>273</v>
      </c>
    </row>
    <row r="15" spans="1:2" ht="30" customHeight="1" x14ac:dyDescent="0.3">
      <c r="A15" s="105" t="s">
        <v>274</v>
      </c>
      <c r="B15" s="106" t="s">
        <v>275</v>
      </c>
    </row>
    <row r="16" spans="1:2" ht="22.05" customHeight="1" x14ac:dyDescent="0.3">
      <c r="A16" s="143" t="s">
        <v>276</v>
      </c>
      <c r="B16" s="144"/>
    </row>
    <row r="17" spans="1:2" ht="45" customHeight="1" x14ac:dyDescent="0.3">
      <c r="A17" s="107" t="s">
        <v>277</v>
      </c>
      <c r="B17" s="108" t="s">
        <v>278</v>
      </c>
    </row>
    <row r="18" spans="1:2" ht="30" customHeight="1" x14ac:dyDescent="0.3">
      <c r="A18" s="105" t="s">
        <v>279</v>
      </c>
      <c r="B18" s="106" t="s">
        <v>280</v>
      </c>
    </row>
    <row r="19" spans="1:2" ht="45" customHeight="1" x14ac:dyDescent="0.3">
      <c r="A19" s="107" t="s">
        <v>281</v>
      </c>
      <c r="B19" s="108" t="s">
        <v>282</v>
      </c>
    </row>
    <row r="20" spans="1:2" ht="30" customHeight="1" x14ac:dyDescent="0.3">
      <c r="A20" s="105" t="s">
        <v>283</v>
      </c>
      <c r="B20" s="106" t="s">
        <v>284</v>
      </c>
    </row>
    <row r="21" spans="1:2" ht="30" customHeight="1" x14ac:dyDescent="0.3">
      <c r="A21" s="107" t="s">
        <v>285</v>
      </c>
      <c r="B21" s="108" t="s">
        <v>286</v>
      </c>
    </row>
    <row r="22" spans="1:2" ht="22.05" customHeight="1" x14ac:dyDescent="0.3">
      <c r="A22" s="143" t="s">
        <v>287</v>
      </c>
      <c r="B22" s="144"/>
    </row>
    <row r="23" spans="1:2" ht="30" customHeight="1" x14ac:dyDescent="0.3">
      <c r="A23" s="105" t="s">
        <v>288</v>
      </c>
      <c r="B23" s="106" t="s">
        <v>289</v>
      </c>
    </row>
    <row r="24" spans="1:2" ht="30" customHeight="1" x14ac:dyDescent="0.3">
      <c r="A24" s="107" t="s">
        <v>290</v>
      </c>
      <c r="B24" s="108" t="s">
        <v>291</v>
      </c>
    </row>
    <row r="25" spans="1:2" ht="30" customHeight="1" x14ac:dyDescent="0.3">
      <c r="A25" s="105" t="s">
        <v>292</v>
      </c>
      <c r="B25" s="106" t="s">
        <v>293</v>
      </c>
    </row>
    <row r="26" spans="1:2" ht="22.05" customHeight="1" x14ac:dyDescent="0.3">
      <c r="A26" s="143" t="s">
        <v>294</v>
      </c>
      <c r="B26" s="144"/>
    </row>
    <row r="27" spans="1:2" ht="45" customHeight="1" x14ac:dyDescent="0.3">
      <c r="A27" s="107" t="s">
        <v>295</v>
      </c>
      <c r="B27" s="108" t="s">
        <v>296</v>
      </c>
    </row>
    <row r="28" spans="1:2" ht="30" customHeight="1" x14ac:dyDescent="0.3">
      <c r="A28" s="105" t="s">
        <v>297</v>
      </c>
      <c r="B28" s="106" t="s">
        <v>298</v>
      </c>
    </row>
    <row r="29" spans="1:2" ht="45" customHeight="1" x14ac:dyDescent="0.3">
      <c r="A29" s="107" t="s">
        <v>299</v>
      </c>
      <c r="B29" s="108" t="s">
        <v>300</v>
      </c>
    </row>
    <row r="30" spans="1:2" ht="45" customHeight="1" x14ac:dyDescent="0.3">
      <c r="A30" s="105" t="s">
        <v>301</v>
      </c>
      <c r="B30" s="106" t="s">
        <v>302</v>
      </c>
    </row>
    <row r="32" spans="1:2" ht="19.95" customHeight="1" x14ac:dyDescent="0.3">
      <c r="A32" s="146" t="s">
        <v>303</v>
      </c>
      <c r="B32" s="110"/>
    </row>
  </sheetData>
  <mergeCells count="8">
    <mergeCell ref="A32:B32"/>
    <mergeCell ref="A1:B1"/>
    <mergeCell ref="A22:B22"/>
    <mergeCell ref="A26:B26"/>
    <mergeCell ref="A16:B16"/>
    <mergeCell ref="A2:B2"/>
    <mergeCell ref="A11:B11"/>
    <mergeCell ref="A5:B5"/>
  </mergeCells>
  <pageMargins left="0.6" right="0.6" top="0.6" bottom="0.6" header="0.5" footer="0.5"/>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Portada</vt:lpstr>
      <vt:lpstr>Resumen Ejecutivo</vt:lpstr>
      <vt:lpstr>02_Costos_Directos_COGS</vt:lpstr>
      <vt:lpstr>03_Precios_Unitarios_Cantidades</vt:lpstr>
      <vt:lpstr>04_Costos_Indirectos_OpEx</vt:lpstr>
      <vt:lpstr>05_Impuestos_y_Tasas</vt:lpstr>
      <vt:lpstr>06_Reservas_Contingencia</vt:lpstr>
      <vt:lpstr>07_Estado_Resultados_PyG</vt:lpstr>
      <vt:lpstr>08_Actualizacion_Operativa</vt:lpstr>
      <vt:lpstr>09_Simulacion_Consumo_Exagerado</vt:lpstr>
      <vt:lpstr>10_Glosario_de_Terminos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Costo360 - Sistema Integral de Cotizaciones</cp:lastModifiedBy>
  <dcterms:created xsi:type="dcterms:W3CDTF">2026-09-17T00:13:44Z</dcterms:created>
  <dcterms:modified xsi:type="dcterms:W3CDTF">2026-09-17T01:01:15Z</dcterms:modified>
</cp:coreProperties>
</file>