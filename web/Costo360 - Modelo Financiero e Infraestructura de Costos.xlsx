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 &amp; Presupuesto" sheetId="1" r:id="rId5"/>
    <sheet state="visible" name="Simulación Tokens por Agente" sheetId="2" r:id="rId6"/>
    <sheet state="visible" name="Stack Tecnológico &amp; Infraestruc" sheetId="3" r:id="rId7"/>
    <sheet state="visible" name="Proyección a 5 Años" sheetId="4" r:id="rId8"/>
  </sheets>
  <definedNames/>
  <calcPr/>
</workbook>
</file>

<file path=xl/sharedStrings.xml><?xml version="1.0" encoding="utf-8"?>
<sst xmlns="http://schemas.openxmlformats.org/spreadsheetml/2006/main" count="153" uniqueCount="108">
  <si>
    <t>Año</t>
  </si>
  <si>
    <t>Categoría</t>
  </si>
  <si>
    <t>Agente</t>
  </si>
  <si>
    <t>Herramienta</t>
  </si>
  <si>
    <t>Costo Mensual USD</t>
  </si>
  <si>
    <t>Clientes Activos</t>
  </si>
  <si>
    <t>Costo Mensual COP</t>
  </si>
  <si>
    <t>MRR (COP)</t>
  </si>
  <si>
    <t>Costo Anual COP</t>
  </si>
  <si>
    <t>Ingresos Anuales (COP)</t>
  </si>
  <si>
    <t>Costo Tech Anual (COP)</t>
  </si>
  <si>
    <t>Tarea</t>
  </si>
  <si>
    <t>Margen Bruto</t>
  </si>
  <si>
    <t>Hito Operativo</t>
  </si>
  <si>
    <t>Modelo</t>
  </si>
  <si>
    <t>Requests</t>
  </si>
  <si>
    <t>Tokens In</t>
  </si>
  <si>
    <t>Tokens Out</t>
  </si>
  <si>
    <t>Costo Base USD</t>
  </si>
  <si>
    <t>Costo Base COP</t>
  </si>
  <si>
    <t>Costo Colchón USD (+50%)</t>
  </si>
  <si>
    <t>Infraestructura</t>
  </si>
  <si>
    <t>Costo Colchón COP</t>
  </si>
  <si>
    <t>Año 1</t>
  </si>
  <si>
    <t>Tokens IA (+50% colchón)</t>
  </si>
  <si>
    <t>MÉTRICAS CLAVE</t>
  </si>
  <si>
    <t>Agente 1: Ventas y Prospección Outbound</t>
  </si>
  <si>
    <t>Calificación de leads, prospección B2B, seguimiento y manejo de objeciones.</t>
  </si>
  <si>
    <t>Gemini Flash Lite &amp; Claude Sonnet</t>
  </si>
  <si>
    <t>TRM (1 USD)</t>
  </si>
  <si>
    <t>Automatización total Colombia y PMF.</t>
  </si>
  <si>
    <t>Año 2</t>
  </si>
  <si>
    <t>Expansión Bogotá, Medellín y Cali.</t>
  </si>
  <si>
    <t>Año 3</t>
  </si>
  <si>
    <t>Expansión México y Perú (Multi-divisa).</t>
  </si>
  <si>
    <t>Margen Bruto del Software</t>
  </si>
  <si>
    <t>Año 4</t>
  </si>
  <si>
    <t>Red B2B de distribuidores de piedra.</t>
  </si>
  <si>
    <t>Costo Marginal por Cotización (Año 1)</t>
  </si>
  <si>
    <t>Año 5</t>
  </si>
  <si>
    <t>Consolidación como estándar SaaS en LatAm.</t>
  </si>
  <si>
    <t>Railway (Docker, Python, WeasyPrint)</t>
  </si>
  <si>
    <t>Agente 2: Producto, Nesting 2D y Renderizado</t>
  </si>
  <si>
    <t>Supabase Pro (Postgres, pgvector, checkpointers)</t>
  </si>
  <si>
    <t>Validación paramétrica de medidas de losas, cálculo de merma, extracción de branding K-Means, BOM.</t>
  </si>
  <si>
    <t>Alegra API (Facturación DIAN / Contabilidad)</t>
  </si>
  <si>
    <t>RESUMEN DE COSTOS CONSOLIDADO</t>
  </si>
  <si>
    <t>Pipedrive CRM (Gestión Leads)</t>
  </si>
  <si>
    <t>Agente 3: Contabilidad, Impuestos y Facturación</t>
  </si>
  <si>
    <t>Cálculo de AIU, validación RST/ICA, auditoría de retenciones y payload JSON a Alegra.</t>
  </si>
  <si>
    <t>Higgsfield Ultra ($99/mes anual)</t>
  </si>
  <si>
    <t>Agente 4: Soporte Técnico y Onboarding B2B</t>
  </si>
  <si>
    <t>Sentry Team (Errores)</t>
  </si>
  <si>
    <t>Resolución de dudas operativas, tutoriales interactivos y soporte a talleres.</t>
  </si>
  <si>
    <t>PostHog (Analítica)</t>
  </si>
  <si>
    <t>Agente 5: Marketing y Copywriting</t>
  </si>
  <si>
    <t>Redacción de correos outbound, guiones de video comercial y copies.</t>
  </si>
  <si>
    <t>Resend Pro (Emails)</t>
  </si>
  <si>
    <t>Agente 6: Orquestador Transaccional</t>
  </si>
  <si>
    <t>Enrutamiento determinista entre agentes, supervisión de estado y control de fallbacks.</t>
  </si>
  <si>
    <t>Gemini Flash Lite</t>
  </si>
  <si>
    <t>Google Workspace (2 cuentas)</t>
  </si>
  <si>
    <t>Google AI Ultra / Antigravity</t>
  </si>
  <si>
    <t>TOTAL</t>
  </si>
  <si>
    <t>Claude Max / Pro</t>
  </si>
  <si>
    <t>Herramientas Solicitadas</t>
  </si>
  <si>
    <t>Squarespace Dominio</t>
  </si>
  <si>
    <t>Apple ($99/año) + Google Play ($25) Cuentas Developer</t>
  </si>
  <si>
    <t>WhatsApp Meta API / Evolution VPS</t>
  </si>
  <si>
    <t>Infraestructura Omitida</t>
  </si>
  <si>
    <t>Langfuse (Tracing de Agentes)</t>
  </si>
  <si>
    <t>Tavily / Serper API (Prospección web)</t>
  </si>
  <si>
    <t>Embeddings IA (RAG piedras/losas)</t>
  </si>
  <si>
    <t>TOTAL GENERAL TECNOLÓGICO</t>
  </si>
  <si>
    <t>Vercel Pro + GitHub Team</t>
  </si>
  <si>
    <t>Cloudflare R2 (PDFs y storage)</t>
  </si>
  <si>
    <t>TOTAL TECNOLÓGICO</t>
  </si>
  <si>
    <t>CAPACIDAD MÁXIMA DEL INVERSIONISTA</t>
  </si>
  <si>
    <t>ESCENARIOS DE LEVANTAMIENTO DE CAPITAL</t>
  </si>
  <si>
    <t>Escenario 1 (Lean)</t>
  </si>
  <si>
    <t>Escenario 2 (Recomendado)</t>
  </si>
  <si>
    <t>Escenario 3 (Acelerado)</t>
  </si>
  <si>
    <t>Monto Total</t>
  </si>
  <si>
    <t>Runway (Meses)</t>
  </si>
  <si>
    <t>Objetivo Principal</t>
  </si>
  <si>
    <t>50-60 clientes</t>
  </si>
  <si>
    <t>&gt;100 clientes y breakeven</t>
  </si>
  <si>
    <t>180 clientes y multi-ciudad</t>
  </si>
  <si>
    <t>DISTRIBUCIÓN DE FONDOS (COP)</t>
  </si>
  <si>
    <t>Tecnología</t>
  </si>
  <si>
    <t>Sueldo Fundador</t>
  </si>
  <si>
    <t>Marketing / Ads</t>
  </si>
  <si>
    <t>Legal / SIC / Contador</t>
  </si>
  <si>
    <t>Fondo de Reserva</t>
  </si>
  <si>
    <t>Total</t>
  </si>
  <si>
    <t>DISTRIBUCIÓN DE FONDOS (%)</t>
  </si>
  <si>
    <t>MODELO DE MONETIZACIÓN Y UNIT ECONOMICS</t>
  </si>
  <si>
    <t>Métrica</t>
  </si>
  <si>
    <t>Valor</t>
  </si>
  <si>
    <t>Plan Starter</t>
  </si>
  <si>
    <t>Plan Pro</t>
  </si>
  <si>
    <t>Plan Enterprise</t>
  </si>
  <si>
    <t>ARPU Promedio</t>
  </si>
  <si>
    <t>MRR a 100 clientes</t>
  </si>
  <si>
    <t>ARR a 100 clientes</t>
  </si>
  <si>
    <t>Breakeven (Clientes)</t>
  </si>
  <si>
    <t>Breakeven (Mes)</t>
  </si>
  <si>
    <t>Mes 7-8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</si>
</sst>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.00"/>
    <numFmt numFmtId="166" formatCode="0.0%"/>
  </numFmts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  <font>
      <sz val="10.0"/>
      <color rgb="FFFFFF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006A62"/>
        <bgColor rgb="FF006A62"/>
      </patternFill>
    </fill>
    <fill>
      <patternFill patternType="solid">
        <fgColor rgb="FFF6FAF3"/>
        <bgColor rgb="FFF6FAF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6F7877"/>
      </left>
      <right style="thin">
        <color rgb="FF6F7877"/>
      </right>
      <bottom style="thin">
        <color rgb="FF6F7877"/>
      </bottom>
    </border>
    <border>
      <left style="thin">
        <color rgb="FF6F7877"/>
      </left>
      <right style="thin">
        <color rgb="FF6F7877"/>
      </right>
    </border>
    <border>
      <left style="thin">
        <color rgb="FF6F7877"/>
      </left>
    </border>
    <border>
      <left style="thin">
        <color rgb="FF73777E"/>
      </left>
      <right style="thin">
        <color rgb="FF73777E"/>
      </right>
      <bottom style="thin">
        <color rgb="FF73777E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  <xf borderId="1" fillId="2" fontId="1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9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4" xfId="0" applyBorder="1" applyFont="1" applyNumberFormat="1"/>
    <xf borderId="1" fillId="0" fontId="2" numFmtId="165" xfId="0" applyBorder="1" applyFont="1" applyNumberFormat="1"/>
    <xf borderId="1" fillId="2" fontId="1" numFmtId="0" xfId="0" applyAlignment="1" applyBorder="1" applyFont="1">
      <alignment readingOrder="0"/>
    </xf>
    <xf borderId="1" fillId="2" fontId="1" numFmtId="0" xfId="0" applyBorder="1" applyFon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2" fillId="0" fontId="2" numFmtId="3" xfId="0" applyBorder="1" applyFont="1" applyNumberFormat="1"/>
    <xf borderId="2" fillId="0" fontId="2" numFmtId="165" xfId="0" applyBorder="1" applyFont="1" applyNumberFormat="1"/>
    <xf borderId="2" fillId="0" fontId="2" numFmtId="164" xfId="0" applyBorder="1" applyFont="1" applyNumberFormat="1"/>
    <xf borderId="1" fillId="3" fontId="3" numFmtId="164" xfId="0" applyAlignment="1" applyBorder="1" applyFill="1" applyFont="1" applyNumberForma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2" fontId="1" numFmtId="164" xfId="0" applyAlignment="1" applyBorder="1" applyFont="1" applyNumberFormat="1">
      <alignment readingOrder="0"/>
    </xf>
    <xf borderId="5" fillId="2" fontId="1" numFmtId="9" xfId="0" applyAlignment="1" applyBorder="1" applyFont="1" applyNumberFormat="1">
      <alignment readingOrder="0"/>
    </xf>
    <xf borderId="1" fillId="2" fontId="1" numFmtId="164" xfId="0" applyAlignment="1" applyBorder="1" applyFont="1" applyNumberFormat="1">
      <alignment readingOrder="0"/>
    </xf>
    <xf borderId="1" fillId="4" fontId="2" numFmtId="0" xfId="0" applyAlignment="1" applyBorder="1" applyFill="1" applyFont="1">
      <alignment readingOrder="0"/>
    </xf>
    <xf borderId="1" fillId="4" fontId="2" numFmtId="164" xfId="0" applyAlignment="1" applyBorder="1" applyFont="1" applyNumberFormat="1">
      <alignment readingOrder="0"/>
    </xf>
    <xf borderId="1" fillId="5" fontId="2" numFmtId="0" xfId="0" applyAlignment="1" applyBorder="1" applyFill="1" applyFont="1">
      <alignment readingOrder="0"/>
    </xf>
    <xf borderId="1" fillId="5" fontId="2" numFmtId="164" xfId="0" applyAlignment="1" applyBorder="1" applyFont="1" applyNumberFormat="1">
      <alignment readingOrder="0"/>
    </xf>
    <xf borderId="3" fillId="0" fontId="2" numFmtId="164" xfId="0" applyBorder="1" applyFont="1" applyNumberFormat="1"/>
    <xf borderId="3" fillId="0" fontId="2" numFmtId="9" xfId="0" applyBorder="1" applyFont="1" applyNumberFormat="1"/>
    <xf borderId="1" fillId="5" fontId="2" numFmtId="164" xfId="0" applyBorder="1" applyFont="1" applyNumberFormat="1"/>
    <xf borderId="1" fillId="4" fontId="2" numFmtId="166" xfId="0" applyBorder="1" applyFont="1" applyNumberFormat="1"/>
    <xf borderId="1" fillId="5" fontId="2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9">
    <tableStyle count="3" pivot="0" name="Simulación Tokens por Agente-style">
      <tableStyleElement dxfId="1" type="headerRow"/>
      <tableStyleElement dxfId="2" type="firstRowStripe"/>
      <tableStyleElement dxfId="3" type="secondRowStripe"/>
    </tableStyle>
    <tableStyle count="3" pivot="0" name="Stack Tecnológico &amp; Infraestruc-style">
      <tableStyleElement dxfId="1" type="headerRow"/>
      <tableStyleElement dxfId="2" type="firstRowStripe"/>
      <tableStyleElement dxfId="3" type="secondRowStripe"/>
    </tableStyle>
    <tableStyle count="3" pivot="0" name="Proyección a 5 Años-style">
      <tableStyleElement dxfId="1" type="headerRow"/>
      <tableStyleElement dxfId="2" type="firstRowStripe"/>
      <tableStyleElement dxfId="3" type="secondRowStripe"/>
    </tableStyle>
    <tableStyle count="3" pivot="0" name="Resumen Ejecutivo &amp; Presupuesto-style">
      <tableStyleElement dxfId="1" type="headerRow"/>
      <tableStyleElement dxfId="2" type="firstRowStripe"/>
      <tableStyleElement dxfId="3" type="secondRowStripe"/>
    </tableStyle>
    <tableStyle count="3" pivot="0" name="Resumen Ejecutivo &amp; Presupuesto-style 2">
      <tableStyleElement dxfId="1" type="headerRow"/>
      <tableStyleElement dxfId="2" type="firstRowStripe"/>
      <tableStyleElement dxfId="3" type="secondRowStripe"/>
    </tableStyle>
    <tableStyle count="3" pivot="0" name="Resumen Ejecutivo &amp; Presupuesto-style 3">
      <tableStyleElement dxfId="1" type="headerRow"/>
      <tableStyleElement dxfId="2" type="firstRowStripe"/>
      <tableStyleElement dxfId="3" type="secondRowStripe"/>
    </tableStyle>
    <tableStyle count="3" pivot="0" name="Resumen Ejecutivo &amp; Presupuesto-style 4">
      <tableStyleElement dxfId="1" type="headerRow"/>
      <tableStyleElement dxfId="2" type="firstRowStripe"/>
      <tableStyleElement dxfId="3" type="secondRowStripe"/>
    </tableStyle>
    <tableStyle count="3" pivot="0" name="Resumen Ejecutivo &amp; Presupuesto-style 5">
      <tableStyleElement dxfId="1" type="headerRow"/>
      <tableStyleElement dxfId="2" type="firstRowStripe"/>
      <tableStyleElement dxfId="3" type="secondRowStripe"/>
    </tableStyle>
    <tableStyle count="3" pivot="0" name="Resumen Ejecutivo &amp; Presupuesto-style 6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4" displayName="Table_4" name="Table_4" id="4">
  <tableColumns count="2">
    <tableColumn name="Column1" id="1"/>
    <tableColumn name="Column2" id="2"/>
  </tableColumns>
  <tableStyleInfo name="Resumen Ejecutivo &amp; Presupuest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7:D11" displayName="Table_5" name="Table_5" id="5">
  <tableColumns count="4">
    <tableColumn name="Categoría" id="1"/>
    <tableColumn name="Costo Mensual USD" id="2"/>
    <tableColumn name="Costo Mensual COP" id="3"/>
    <tableColumn name="Costo Anual COP" id="4"/>
  </tableColumns>
  <tableStyleInfo name="Resumen Ejecutivo &amp; Presupuesto-style 2" showColumnStripes="0" showFirstColumn="1" showLastColumn="1" showRowStripes="1"/>
</table>
</file>

<file path=xl/tables/table3.xml><?xml version="1.0" encoding="utf-8"?>
<table xmlns="http://schemas.openxmlformats.org/spreadsheetml/2006/main" ref="A16:D19" displayName="Table_6" name="Table_6" id="6">
  <tableColumns count="4">
    <tableColumn name="Categoría" id="1"/>
    <tableColumn name="Escenario 1 (Lean)" id="2"/>
    <tableColumn name="Escenario 2 (Recomendado)" id="3"/>
    <tableColumn name="Escenario 3 (Acelerado)" id="4"/>
  </tableColumns>
  <tableStyleInfo name="Resumen Ejecutivo &amp; Presupuesto-style 3" showColumnStripes="0" showFirstColumn="1" showLastColumn="1" showRowStripes="1"/>
</table>
</file>

<file path=xl/tables/table4.xml><?xml version="1.0" encoding="utf-8"?>
<table xmlns="http://schemas.openxmlformats.org/spreadsheetml/2006/main" ref="A22:D28" displayName="Table_7" name="Table_7" id="7">
  <tableColumns count="4">
    <tableColumn name="Categoría" id="1"/>
    <tableColumn name="Escenario 1 (Lean)" id="2"/>
    <tableColumn name="Escenario 2 (Recomendado)" id="3"/>
    <tableColumn name="Escenario 3 (Acelerado)" id="4"/>
  </tableColumns>
  <tableStyleInfo name="Resumen Ejecutivo &amp; Presupuesto-style 4" showColumnStripes="0" showFirstColumn="1" showLastColumn="1" showRowStripes="1"/>
</table>
</file>

<file path=xl/tables/table5.xml><?xml version="1.0" encoding="utf-8"?>
<table xmlns="http://schemas.openxmlformats.org/spreadsheetml/2006/main" ref="A31:D37" displayName="Table_8" name="Table_8" id="8">
  <tableColumns count="4">
    <tableColumn name="Categoría" id="1"/>
    <tableColumn name="Escenario 1 (Lean)" id="2"/>
    <tableColumn name="Escenario 2 (Recomendado)" id="3"/>
    <tableColumn name="Escenario 3 (Acelerado)" id="4"/>
  </tableColumns>
  <tableStyleInfo name="Resumen Ejecutivo &amp; Presupuesto-style 5" showColumnStripes="0" showFirstColumn="1" showLastColumn="1" showRowStripes="1"/>
</table>
</file>

<file path=xl/tables/table6.xml><?xml version="1.0" encoding="utf-8"?>
<table xmlns="http://schemas.openxmlformats.org/spreadsheetml/2006/main" ref="A40:B48" displayName="Table_9" name="Table_9" id="9">
  <tableColumns count="2">
    <tableColumn name="Métrica" id="1"/>
    <tableColumn name="Valor" id="2"/>
  </tableColumns>
  <tableStyleInfo name="Resumen Ejecutivo &amp; Presupuesto-style 6" showColumnStripes="0" showFirstColumn="1" showLastColumn="1" showRowStripes="1"/>
</table>
</file>

<file path=xl/tables/table7.xml><?xml version="1.0" encoding="utf-8"?>
<table xmlns="http://schemas.openxmlformats.org/spreadsheetml/2006/main" ref="A1:J7" displayName="Table_1" name="Table_1" id="1">
  <tableColumns count="10">
    <tableColumn name="Agente" id="1"/>
    <tableColumn name="Tarea" id="2"/>
    <tableColumn name="Modelo" id="3"/>
    <tableColumn name="Requests" id="4"/>
    <tableColumn name="Tokens In" id="5"/>
    <tableColumn name="Tokens Out" id="6"/>
    <tableColumn name="Costo Base USD" id="7"/>
    <tableColumn name="Costo Base COP" id="8"/>
    <tableColumn name="Costo Colchón USD (+50%)" id="9"/>
    <tableColumn name="Costo Colchón COP" id="10"/>
  </tableColumns>
  <tableStyleInfo name="Simulación Tokens por Agente-style" showColumnStripes="0" showFirstColumn="1" showLastColumn="1" showRowStripes="1"/>
</table>
</file>

<file path=xl/tables/table8.xml><?xml version="1.0" encoding="utf-8"?>
<table xmlns="http://schemas.openxmlformats.org/spreadsheetml/2006/main" ref="A1:E22" displayName="Table_3" name="Table_3" id="3">
  <tableColumns count="5">
    <tableColumn name="Categoría" id="1"/>
    <tableColumn name="Herramienta" id="2"/>
    <tableColumn name="Costo Mensual USD" id="3"/>
    <tableColumn name="Costo Mensual COP" id="4"/>
    <tableColumn name="Costo Anual COP" id="5"/>
  </tableColumns>
  <tableStyleInfo name="Stack Tecnológico &amp; Infraestruc-style" showColumnStripes="0" showFirstColumn="1" showLastColumn="1" showRowStripes="1"/>
</table>
</file>

<file path=xl/tables/table9.xml><?xml version="1.0" encoding="utf-8"?>
<table xmlns="http://schemas.openxmlformats.org/spreadsheetml/2006/main" ref="A1:G6" displayName="Table_2" name="Table_2" id="2">
  <tableColumns count="7">
    <tableColumn name="Año" id="1"/>
    <tableColumn name="Clientes Activos" id="2"/>
    <tableColumn name="MRR (COP)" id="3"/>
    <tableColumn name="Ingresos Anuales (COP)" id="4"/>
    <tableColumn name="Costo Tech Anual (COP)" id="5"/>
    <tableColumn name="Margen Bruto" id="6"/>
    <tableColumn name="Hito Operativo" id="7"/>
  </tableColumns>
  <tableStyleInfo name="Proyección a 5 Añ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2" max="2" width="24.63"/>
    <col customWidth="1" min="3" max="3" width="40.63"/>
    <col customWidth="1" min="4" max="4" width="35.75"/>
  </cols>
  <sheetData>
    <row r="1">
      <c r="A1" s="1" t="s">
        <v>25</v>
      </c>
      <c r="B1" s="5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29</v>
      </c>
      <c r="B2" s="8">
        <v>3128.65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35</v>
      </c>
      <c r="B3" s="7">
        <v>0.82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38</v>
      </c>
      <c r="B4" s="10">
        <f>C11/1000</f>
        <v>3134.688295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46</v>
      </c>
      <c r="B6" s="12"/>
      <c r="C6" s="12"/>
      <c r="D6" s="1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</v>
      </c>
      <c r="B7" s="1" t="s">
        <v>4</v>
      </c>
      <c r="C7" s="1" t="s">
        <v>6</v>
      </c>
      <c r="D7" s="1" t="s">
        <v>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24</v>
      </c>
      <c r="B8" s="10">
        <f>'Simulación Tokens por Agente'!I8</f>
        <v>211.95</v>
      </c>
      <c r="C8" s="9">
        <f>'Simulación Tokens por Agente'!J8</f>
        <v>663117.3675</v>
      </c>
      <c r="D8" s="9">
        <f>C8*12</f>
        <v>7957408.41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65</v>
      </c>
      <c r="B9" s="10">
        <f>'Stack Tecnológico &amp; Infraestruc'!C15</f>
        <v>10.33</v>
      </c>
      <c r="C9" s="9">
        <f>'Stack Tecnológico &amp; Infraestruc'!D15</f>
        <v>32318.9545</v>
      </c>
      <c r="D9" s="9">
        <f>'Stack Tecnológico &amp; Infraestruc'!E15</f>
        <v>387827.454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69</v>
      </c>
      <c r="B10" s="10">
        <f>'Stack Tecnológico &amp; Infraestruc'!C22</f>
        <v>779.65</v>
      </c>
      <c r="C10" s="9">
        <f>'Stack Tecnológico &amp; Infraestruc'!D22</f>
        <v>2439251.973</v>
      </c>
      <c r="D10" s="9">
        <f>'Stack Tecnológico &amp; Infraestruc'!E22</f>
        <v>29271023.67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73</v>
      </c>
      <c r="B11" s="10">
        <f t="shared" ref="B11:D11" si="1">SUM(B8:B10)</f>
        <v>1001.93</v>
      </c>
      <c r="C11" s="9">
        <f t="shared" si="1"/>
        <v>3134688.295</v>
      </c>
      <c r="D11" s="9">
        <f t="shared" si="1"/>
        <v>37616259.53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77</v>
      </c>
      <c r="B13" s="18">
        <v>2.0E8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9"/>
      <c r="B14" s="20"/>
      <c r="C14" s="2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 t="s">
        <v>78</v>
      </c>
      <c r="B15" s="22"/>
      <c r="C15" s="23"/>
      <c r="D15" s="1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</v>
      </c>
      <c r="B16" s="24" t="s">
        <v>79</v>
      </c>
      <c r="C16" s="1" t="s">
        <v>80</v>
      </c>
      <c r="D16" s="1" t="s">
        <v>81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5" t="s">
        <v>82</v>
      </c>
      <c r="B17" s="26">
        <v>1.14271648E8</v>
      </c>
      <c r="C17" s="26">
        <v>1.34271648E8</v>
      </c>
      <c r="D17" s="26">
        <v>2.0E8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7" t="s">
        <v>83</v>
      </c>
      <c r="B18" s="28">
        <v>12.0</v>
      </c>
      <c r="C18" s="27">
        <v>14.0</v>
      </c>
      <c r="D18" s="27">
        <v>18.0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5" t="s">
        <v>84</v>
      </c>
      <c r="B19" s="26" t="s">
        <v>85</v>
      </c>
      <c r="C19" s="25" t="s">
        <v>86</v>
      </c>
      <c r="D19" s="25" t="s">
        <v>87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9"/>
      <c r="B20" s="29"/>
      <c r="C20" s="30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 t="s">
        <v>88</v>
      </c>
      <c r="B21" s="12"/>
      <c r="C21" s="12"/>
      <c r="D21" s="1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</v>
      </c>
      <c r="B22" s="1" t="s">
        <v>79</v>
      </c>
      <c r="C22" s="1" t="s">
        <v>80</v>
      </c>
      <c r="D22" s="1" t="s">
        <v>81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5" t="s">
        <v>89</v>
      </c>
      <c r="B23" s="26">
        <v>2.9271648E7</v>
      </c>
      <c r="C23" s="26">
        <v>2.9271648E7</v>
      </c>
      <c r="D23" s="26">
        <v>3.8E7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7" t="s">
        <v>90</v>
      </c>
      <c r="B24" s="28">
        <v>5.4E7</v>
      </c>
      <c r="C24" s="28">
        <v>5.4E7</v>
      </c>
      <c r="D24" s="28">
        <v>8.1E7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5" t="s">
        <v>91</v>
      </c>
      <c r="B25" s="26">
        <v>1.5E7</v>
      </c>
      <c r="C25" s="26">
        <v>2.5E7</v>
      </c>
      <c r="D25" s="26">
        <v>4.5E7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7" t="s">
        <v>92</v>
      </c>
      <c r="B26" s="28">
        <v>8500000.0</v>
      </c>
      <c r="C26" s="28">
        <v>1.15E7</v>
      </c>
      <c r="D26" s="28">
        <v>1.6E7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5" t="s">
        <v>93</v>
      </c>
      <c r="B27" s="26">
        <v>7500000.0</v>
      </c>
      <c r="C27" s="26">
        <v>1.45E7</v>
      </c>
      <c r="D27" s="26">
        <v>2.0E7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7" t="s">
        <v>94</v>
      </c>
      <c r="B28" s="31">
        <f t="shared" ref="B28:D28" si="2">SUM(B23:B27)</f>
        <v>114271648</v>
      </c>
      <c r="C28" s="31">
        <f t="shared" si="2"/>
        <v>134271648</v>
      </c>
      <c r="D28" s="31">
        <f t="shared" si="2"/>
        <v>200000000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 t="s">
        <v>95</v>
      </c>
      <c r="B30" s="12"/>
      <c r="C30" s="12"/>
      <c r="D30" s="1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</v>
      </c>
      <c r="B31" s="1" t="s">
        <v>79</v>
      </c>
      <c r="C31" s="1" t="s">
        <v>80</v>
      </c>
      <c r="D31" s="1" t="s">
        <v>81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5" t="s">
        <v>89</v>
      </c>
      <c r="B32" s="32">
        <f t="shared" ref="B32:D32" si="3">B23/B$28</f>
        <v>0.256158448</v>
      </c>
      <c r="C32" s="32">
        <f t="shared" si="3"/>
        <v>0.218003193</v>
      </c>
      <c r="D32" s="32">
        <f t="shared" si="3"/>
        <v>0.19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7" t="s">
        <v>90</v>
      </c>
      <c r="B33" s="33">
        <f t="shared" ref="B33:D33" si="4">B24/B$28</f>
        <v>0.4725581625</v>
      </c>
      <c r="C33" s="33">
        <f t="shared" si="4"/>
        <v>0.4021697864</v>
      </c>
      <c r="D33" s="33">
        <f t="shared" si="4"/>
        <v>0.405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5" t="s">
        <v>91</v>
      </c>
      <c r="B34" s="32">
        <f t="shared" ref="B34:D34" si="5">B25/B$28</f>
        <v>0.1312661562</v>
      </c>
      <c r="C34" s="32">
        <f t="shared" si="5"/>
        <v>0.1861897159</v>
      </c>
      <c r="D34" s="32">
        <f t="shared" si="5"/>
        <v>0.225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7" t="s">
        <v>92</v>
      </c>
      <c r="B35" s="33">
        <f t="shared" ref="B35:D35" si="6">B26/B$28</f>
        <v>0.0743841552</v>
      </c>
      <c r="C35" s="33">
        <f t="shared" si="6"/>
        <v>0.08564726933</v>
      </c>
      <c r="D35" s="33">
        <f t="shared" si="6"/>
        <v>0.08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5" t="s">
        <v>93</v>
      </c>
      <c r="B36" s="32">
        <f t="shared" ref="B36:D36" si="7">B27/B$28</f>
        <v>0.06563307812</v>
      </c>
      <c r="C36" s="32">
        <f t="shared" si="7"/>
        <v>0.1079900352</v>
      </c>
      <c r="D36" s="32">
        <f t="shared" si="7"/>
        <v>0.1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7" t="s">
        <v>94</v>
      </c>
      <c r="B37" s="33">
        <f t="shared" ref="B37:D37" si="8">SUM(B32:B36)</f>
        <v>1</v>
      </c>
      <c r="C37" s="33">
        <f t="shared" si="8"/>
        <v>1</v>
      </c>
      <c r="D37" s="33">
        <f t="shared" si="8"/>
        <v>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1" t="s">
        <v>96</v>
      </c>
      <c r="B39" s="1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97</v>
      </c>
      <c r="B40" s="1" t="s">
        <v>98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99</v>
      </c>
      <c r="B41" s="3">
        <v>150000.0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100</v>
      </c>
      <c r="B42" s="3">
        <v>375000.0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101</v>
      </c>
      <c r="B43" s="3">
        <v>850000.0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102</v>
      </c>
      <c r="B44" s="3">
        <v>333750.0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103</v>
      </c>
      <c r="B45" s="3">
        <v>3.3375E7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104</v>
      </c>
      <c r="B46" s="3">
        <v>4.005E8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105</v>
      </c>
      <c r="B47" s="3">
        <v>35.0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106</v>
      </c>
      <c r="B48" s="3" t="s">
        <v>107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77.0"/>
    <col customWidth="1" min="3" max="3" width="26.38"/>
    <col customWidth="1" min="4" max="4" width="9.88"/>
    <col customWidth="1" min="5" max="5" width="10.13"/>
    <col customWidth="1" min="6" max="6" width="11.88"/>
    <col customWidth="1" min="7" max="8" width="16.25"/>
    <col customWidth="1" min="9" max="9" width="26.25"/>
    <col customWidth="1" min="10" max="10" width="19.5"/>
  </cols>
  <sheetData>
    <row r="1">
      <c r="A1" s="1" t="s">
        <v>2</v>
      </c>
      <c r="B1" s="1" t="s">
        <v>11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26</v>
      </c>
      <c r="B2" s="3" t="s">
        <v>27</v>
      </c>
      <c r="C2" s="3" t="s">
        <v>28</v>
      </c>
      <c r="D2" s="4">
        <v>10500.0</v>
      </c>
      <c r="E2" s="4">
        <v>1.65E7</v>
      </c>
      <c r="F2" s="4">
        <v>3675000.0</v>
      </c>
      <c r="G2" s="8">
        <v>50.74</v>
      </c>
      <c r="H2" s="9">
        <f t="shared" ref="H2:H7" si="1">G2*3128.65</f>
        <v>158747.701</v>
      </c>
      <c r="I2" s="10">
        <f t="shared" ref="I2:I7" si="2">G2*1.5</f>
        <v>76.11</v>
      </c>
      <c r="J2" s="9">
        <f t="shared" ref="J2:J7" si="3">I2*3128.65</f>
        <v>238121.5515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42</v>
      </c>
      <c r="B3" s="3" t="s">
        <v>44</v>
      </c>
      <c r="C3" s="3" t="s">
        <v>28</v>
      </c>
      <c r="D3" s="4">
        <v>5500.0</v>
      </c>
      <c r="E3" s="4">
        <v>1.175E7</v>
      </c>
      <c r="F3" s="4">
        <v>3150000.0</v>
      </c>
      <c r="G3" s="8">
        <v>60.49</v>
      </c>
      <c r="H3" s="9">
        <f t="shared" si="1"/>
        <v>189252.0385</v>
      </c>
      <c r="I3" s="10">
        <f t="shared" si="2"/>
        <v>90.735</v>
      </c>
      <c r="J3" s="9">
        <f t="shared" si="3"/>
        <v>283878.0578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48</v>
      </c>
      <c r="B4" s="3" t="s">
        <v>49</v>
      </c>
      <c r="C4" s="3" t="s">
        <v>28</v>
      </c>
      <c r="D4" s="4">
        <v>3000.0</v>
      </c>
      <c r="E4" s="4">
        <v>5000000.0</v>
      </c>
      <c r="F4" s="4">
        <v>2100000.0</v>
      </c>
      <c r="G4" s="8">
        <v>14.21</v>
      </c>
      <c r="H4" s="9">
        <f t="shared" si="1"/>
        <v>44458.1165</v>
      </c>
      <c r="I4" s="10">
        <f t="shared" si="2"/>
        <v>21.315</v>
      </c>
      <c r="J4" s="9">
        <f t="shared" si="3"/>
        <v>66687.17475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51</v>
      </c>
      <c r="B5" s="3" t="s">
        <v>53</v>
      </c>
      <c r="C5" s="3" t="s">
        <v>28</v>
      </c>
      <c r="D5" s="4">
        <v>3900.0</v>
      </c>
      <c r="E5" s="4">
        <v>4300000.0</v>
      </c>
      <c r="F5" s="4">
        <v>1290000.0</v>
      </c>
      <c r="G5" s="8">
        <v>6.58</v>
      </c>
      <c r="H5" s="9">
        <f t="shared" si="1"/>
        <v>20586.517</v>
      </c>
      <c r="I5" s="10">
        <f t="shared" si="2"/>
        <v>9.87</v>
      </c>
      <c r="J5" s="9">
        <f t="shared" si="3"/>
        <v>30879.7755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55</v>
      </c>
      <c r="B6" s="3" t="s">
        <v>56</v>
      </c>
      <c r="C6" s="3" t="s">
        <v>28</v>
      </c>
      <c r="D6" s="4">
        <v>800.0</v>
      </c>
      <c r="E6" s="4">
        <v>1650000.0</v>
      </c>
      <c r="F6" s="4">
        <v>610000.0</v>
      </c>
      <c r="G6" s="8">
        <v>8.23</v>
      </c>
      <c r="H6" s="9">
        <f t="shared" si="1"/>
        <v>25748.7895</v>
      </c>
      <c r="I6" s="10">
        <f t="shared" si="2"/>
        <v>12.345</v>
      </c>
      <c r="J6" s="9">
        <f t="shared" si="3"/>
        <v>38623.18425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58</v>
      </c>
      <c r="B7" s="3" t="s">
        <v>59</v>
      </c>
      <c r="C7" s="3" t="s">
        <v>60</v>
      </c>
      <c r="D7" s="4">
        <v>10000.0</v>
      </c>
      <c r="E7" s="4">
        <v>8000000.0</v>
      </c>
      <c r="F7" s="4">
        <v>1500000.0</v>
      </c>
      <c r="G7" s="8">
        <v>1.05</v>
      </c>
      <c r="H7" s="9">
        <f t="shared" si="1"/>
        <v>3285.0825</v>
      </c>
      <c r="I7" s="10">
        <f t="shared" si="2"/>
        <v>1.575</v>
      </c>
      <c r="J7" s="9">
        <f t="shared" si="3"/>
        <v>4927.62375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63</v>
      </c>
      <c r="B8" s="14"/>
      <c r="C8" s="14"/>
      <c r="D8" s="15">
        <f t="shared" ref="D8:J8" si="4">SUM(D2:D7)</f>
        <v>33700</v>
      </c>
      <c r="E8" s="15">
        <f t="shared" si="4"/>
        <v>47200000</v>
      </c>
      <c r="F8" s="15">
        <f t="shared" si="4"/>
        <v>12325000</v>
      </c>
      <c r="G8" s="16">
        <f t="shared" si="4"/>
        <v>141.3</v>
      </c>
      <c r="H8" s="17">
        <f t="shared" si="4"/>
        <v>442078.245</v>
      </c>
      <c r="I8" s="16">
        <f t="shared" si="4"/>
        <v>211.95</v>
      </c>
      <c r="J8" s="17">
        <f t="shared" si="4"/>
        <v>663117.3675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46.25"/>
    <col customWidth="1" min="3" max="3" width="19.63"/>
    <col customWidth="1" min="4" max="4" width="19.75"/>
    <col customWidth="1" min="5" max="5" width="17.25"/>
  </cols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21</v>
      </c>
      <c r="B2" s="3" t="s">
        <v>24</v>
      </c>
      <c r="C2" s="8">
        <v>211.94</v>
      </c>
      <c r="D2" s="9">
        <f t="shared" ref="D2:D21" si="1">C2*3128.65</f>
        <v>663086.081</v>
      </c>
      <c r="E2" s="9">
        <f t="shared" ref="E2:E21" si="2">D2*12</f>
        <v>7957032.972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21</v>
      </c>
      <c r="B3" s="3" t="s">
        <v>41</v>
      </c>
      <c r="C3" s="8">
        <v>60.0</v>
      </c>
      <c r="D3" s="9">
        <f t="shared" si="1"/>
        <v>187719</v>
      </c>
      <c r="E3" s="9">
        <f t="shared" si="2"/>
        <v>2252628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43</v>
      </c>
      <c r="C4" s="8">
        <v>35.0</v>
      </c>
      <c r="D4" s="9">
        <f t="shared" si="1"/>
        <v>109502.75</v>
      </c>
      <c r="E4" s="9">
        <f t="shared" si="2"/>
        <v>1314033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21</v>
      </c>
      <c r="B5" s="3" t="s">
        <v>45</v>
      </c>
      <c r="C5" s="8">
        <v>70.32</v>
      </c>
      <c r="D5" s="9">
        <f t="shared" si="1"/>
        <v>220006.668</v>
      </c>
      <c r="E5" s="9">
        <f t="shared" si="2"/>
        <v>2640080.016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21</v>
      </c>
      <c r="B6" s="3" t="s">
        <v>47</v>
      </c>
      <c r="C6" s="8">
        <v>39.0</v>
      </c>
      <c r="D6" s="9">
        <f t="shared" si="1"/>
        <v>122017.35</v>
      </c>
      <c r="E6" s="9">
        <f t="shared" si="2"/>
        <v>1464208.2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21</v>
      </c>
      <c r="B7" s="3" t="s">
        <v>50</v>
      </c>
      <c r="C7" s="8">
        <v>99.0</v>
      </c>
      <c r="D7" s="9">
        <f t="shared" si="1"/>
        <v>309736.35</v>
      </c>
      <c r="E7" s="9">
        <f t="shared" si="2"/>
        <v>3716836.2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21</v>
      </c>
      <c r="B8" s="3" t="s">
        <v>52</v>
      </c>
      <c r="C8" s="8">
        <v>26.0</v>
      </c>
      <c r="D8" s="9">
        <f t="shared" si="1"/>
        <v>81344.9</v>
      </c>
      <c r="E8" s="9">
        <f t="shared" si="2"/>
        <v>976138.8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21</v>
      </c>
      <c r="B9" s="3" t="s">
        <v>54</v>
      </c>
      <c r="C9" s="8">
        <v>25.0</v>
      </c>
      <c r="D9" s="9">
        <f t="shared" si="1"/>
        <v>78216.25</v>
      </c>
      <c r="E9" s="9">
        <f t="shared" si="2"/>
        <v>938595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21</v>
      </c>
      <c r="B10" s="3" t="s">
        <v>57</v>
      </c>
      <c r="C10" s="8">
        <v>20.0</v>
      </c>
      <c r="D10" s="9">
        <f t="shared" si="1"/>
        <v>62573</v>
      </c>
      <c r="E10" s="9">
        <f t="shared" si="2"/>
        <v>750876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21</v>
      </c>
      <c r="B11" s="3" t="s">
        <v>61</v>
      </c>
      <c r="C11" s="8">
        <v>14.4</v>
      </c>
      <c r="D11" s="9">
        <f t="shared" si="1"/>
        <v>45052.56</v>
      </c>
      <c r="E11" s="9">
        <f t="shared" si="2"/>
        <v>540630.72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21</v>
      </c>
      <c r="B12" s="3" t="s">
        <v>62</v>
      </c>
      <c r="C12" s="8">
        <v>19.99</v>
      </c>
      <c r="D12" s="9">
        <f t="shared" si="1"/>
        <v>62541.7135</v>
      </c>
      <c r="E12" s="9">
        <f t="shared" si="2"/>
        <v>750500.562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21</v>
      </c>
      <c r="B13" s="3" t="s">
        <v>64</v>
      </c>
      <c r="C13" s="8">
        <v>25.0</v>
      </c>
      <c r="D13" s="9">
        <f t="shared" si="1"/>
        <v>78216.25</v>
      </c>
      <c r="E13" s="9">
        <f t="shared" si="2"/>
        <v>938595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21</v>
      </c>
      <c r="B14" s="3" t="s">
        <v>66</v>
      </c>
      <c r="C14" s="8">
        <v>1.67</v>
      </c>
      <c r="D14" s="9">
        <f t="shared" si="1"/>
        <v>5224.8455</v>
      </c>
      <c r="E14" s="9">
        <f t="shared" si="2"/>
        <v>62698.146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21</v>
      </c>
      <c r="B15" s="3" t="s">
        <v>67</v>
      </c>
      <c r="C15" s="8">
        <v>10.33</v>
      </c>
      <c r="D15" s="9">
        <f t="shared" si="1"/>
        <v>32318.9545</v>
      </c>
      <c r="E15" s="9">
        <f t="shared" si="2"/>
        <v>387827.454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21</v>
      </c>
      <c r="B16" s="3" t="s">
        <v>68</v>
      </c>
      <c r="C16" s="8">
        <v>45.0</v>
      </c>
      <c r="D16" s="9">
        <f t="shared" si="1"/>
        <v>140789.25</v>
      </c>
      <c r="E16" s="9">
        <f t="shared" si="2"/>
        <v>1689471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21</v>
      </c>
      <c r="B17" s="3" t="s">
        <v>70</v>
      </c>
      <c r="C17" s="8">
        <v>15.0</v>
      </c>
      <c r="D17" s="9">
        <f t="shared" si="1"/>
        <v>46929.75</v>
      </c>
      <c r="E17" s="9">
        <f t="shared" si="2"/>
        <v>563157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21</v>
      </c>
      <c r="B18" s="3" t="s">
        <v>71</v>
      </c>
      <c r="C18" s="8">
        <v>25.0</v>
      </c>
      <c r="D18" s="9">
        <f t="shared" si="1"/>
        <v>78216.25</v>
      </c>
      <c r="E18" s="9">
        <f t="shared" si="2"/>
        <v>938595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21</v>
      </c>
      <c r="B19" s="3" t="s">
        <v>72</v>
      </c>
      <c r="C19" s="8">
        <v>8.0</v>
      </c>
      <c r="D19" s="9">
        <f t="shared" si="1"/>
        <v>25029.2</v>
      </c>
      <c r="E19" s="9">
        <f t="shared" si="2"/>
        <v>300350.4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21</v>
      </c>
      <c r="B20" s="3" t="s">
        <v>74</v>
      </c>
      <c r="C20" s="8">
        <v>24.0</v>
      </c>
      <c r="D20" s="9">
        <f t="shared" si="1"/>
        <v>75087.6</v>
      </c>
      <c r="E20" s="9">
        <f t="shared" si="2"/>
        <v>901051.2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21</v>
      </c>
      <c r="B21" s="3" t="s">
        <v>75</v>
      </c>
      <c r="C21" s="8">
        <v>5.0</v>
      </c>
      <c r="D21" s="9">
        <f t="shared" si="1"/>
        <v>15643.25</v>
      </c>
      <c r="E21" s="9">
        <f t="shared" si="2"/>
        <v>187719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63</v>
      </c>
      <c r="B22" s="3" t="s">
        <v>76</v>
      </c>
      <c r="C22" s="10">
        <f t="shared" ref="C22:E22" si="3">SUM(C2:C21)</f>
        <v>779.65</v>
      </c>
      <c r="D22" s="9">
        <f t="shared" si="3"/>
        <v>2439251.973</v>
      </c>
      <c r="E22" s="9">
        <f t="shared" si="3"/>
        <v>29271023.67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 t="s">
        <v>73</v>
      </c>
      <c r="B23" s="14"/>
      <c r="C23" s="16">
        <f t="shared" ref="C23:E23" si="4">C15+C22</f>
        <v>789.98</v>
      </c>
      <c r="D23" s="17">
        <f t="shared" si="4"/>
        <v>2471570.927</v>
      </c>
      <c r="E23" s="17">
        <f t="shared" si="4"/>
        <v>29658851.12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6.38"/>
    <col customWidth="1" min="3" max="3" width="17.88"/>
    <col customWidth="1" min="4" max="4" width="24.0"/>
    <col customWidth="1" min="5" max="5" width="21.5"/>
    <col customWidth="1" min="6" max="6" width="14.25"/>
    <col customWidth="1" min="7" max="7" width="35.38"/>
  </cols>
  <sheetData>
    <row r="1">
      <c r="A1" s="1" t="s">
        <v>0</v>
      </c>
      <c r="B1" s="1" t="s">
        <v>5</v>
      </c>
      <c r="C1" s="1" t="s">
        <v>7</v>
      </c>
      <c r="D1" s="1" t="s">
        <v>9</v>
      </c>
      <c r="E1" s="1" t="s">
        <v>10</v>
      </c>
      <c r="F1" s="1" t="s">
        <v>12</v>
      </c>
      <c r="G1" s="1" t="s">
        <v>13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23</v>
      </c>
      <c r="B2" s="4">
        <v>100.0</v>
      </c>
      <c r="C2" s="4">
        <v>3.33E7</v>
      </c>
      <c r="D2" s="6">
        <v>1.85E8</v>
      </c>
      <c r="E2" s="6">
        <v>2.93E7</v>
      </c>
      <c r="F2" s="7">
        <v>0.84</v>
      </c>
      <c r="G2" s="3" t="s">
        <v>30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31</v>
      </c>
      <c r="B3" s="4">
        <v>250.0</v>
      </c>
      <c r="C3" s="4">
        <v>8.34E7</v>
      </c>
      <c r="D3" s="6">
        <v>7.5E8</v>
      </c>
      <c r="E3" s="6">
        <v>6.2E7</v>
      </c>
      <c r="F3" s="7">
        <v>0.89</v>
      </c>
      <c r="G3" s="3" t="s">
        <v>32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33</v>
      </c>
      <c r="B4" s="4">
        <v>650.0</v>
      </c>
      <c r="C4" s="4">
        <v>2.169E8</v>
      </c>
      <c r="D4" s="6">
        <v>2.15E9</v>
      </c>
      <c r="E4" s="6">
        <v>1.65E8</v>
      </c>
      <c r="F4" s="7">
        <v>0.92</v>
      </c>
      <c r="G4" s="3" t="s">
        <v>34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36</v>
      </c>
      <c r="B5" s="4">
        <v>1500.0</v>
      </c>
      <c r="C5" s="4">
        <v>5.006E8</v>
      </c>
      <c r="D5" s="6">
        <v>5.2E9</v>
      </c>
      <c r="E5" s="6">
        <v>3.6E8</v>
      </c>
      <c r="F5" s="7">
        <v>0.93</v>
      </c>
      <c r="G5" s="3" t="s">
        <v>37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39</v>
      </c>
      <c r="B6" s="4">
        <v>3200.0</v>
      </c>
      <c r="C6" s="4">
        <v>1.068E9</v>
      </c>
      <c r="D6" s="6">
        <v>1.15E10</v>
      </c>
      <c r="E6" s="6">
        <v>7.2E8</v>
      </c>
      <c r="F6" s="7">
        <v>0.94</v>
      </c>
      <c r="G6" s="3" t="s">
        <v>40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